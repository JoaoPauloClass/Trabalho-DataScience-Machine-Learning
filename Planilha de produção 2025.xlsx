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Janeiro" sheetId="1" state="visible" r:id="rId3"/>
    <sheet name="Fevereiro" sheetId="2" state="visible" r:id="rId4"/>
    <sheet name="Março" sheetId="3" state="visible" r:id="rId5"/>
    <sheet name="Abril" sheetId="4" state="visible" r:id="rId6"/>
    <sheet name="Maio" sheetId="5" state="visible" r:id="rId7"/>
    <sheet name="Junho" sheetId="6" state="visible" r:id="rId8"/>
    <sheet name="Julho" sheetId="7" state="visible" r:id="rId9"/>
    <sheet name="Agosto" sheetId="8" state="visible" r:id="rId10"/>
    <sheet name="Setembro" sheetId="9" state="visible" r:id="rId11"/>
    <sheet name="Outubro" sheetId="10" state="visible" r:id="rId12"/>
    <sheet name="Novembro" sheetId="11" state="visible" r:id="rId13"/>
    <sheet name="Dezembro" sheetId="12" state="visible" r:id="rId14"/>
    <sheet name="Fechamento" sheetId="13" state="visible" r:id="rId15"/>
    <sheet name="Planilha2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<sst xmlns="http://schemas.openxmlformats.org/spreadsheetml/2006/main" count="3415" uniqueCount="526">
  <si>
    <t xml:space="preserve">material ok</t>
  </si>
  <si>
    <t xml:space="preserve">produzindo</t>
  </si>
  <si>
    <t xml:space="preserve">previsto</t>
  </si>
  <si>
    <t xml:space="preserve">a medir</t>
  </si>
  <si>
    <t xml:space="preserve">pronto</t>
  </si>
  <si>
    <t xml:space="preserve">a serrar</t>
  </si>
  <si>
    <t xml:space="preserve">a montar</t>
  </si>
  <si>
    <t xml:space="preserve">Contrato</t>
  </si>
  <si>
    <t xml:space="preserve">Cliente</t>
  </si>
  <si>
    <t xml:space="preserve">Itens</t>
  </si>
  <si>
    <t xml:space="preserve">Material</t>
  </si>
  <si>
    <t xml:space="preserve">M² orçado</t>
  </si>
  <si>
    <t xml:space="preserve">M²utilizado</t>
  </si>
  <si>
    <t xml:space="preserve">%</t>
  </si>
  <si>
    <t xml:space="preserve">Valor m²</t>
  </si>
  <si>
    <t xml:space="preserve">L/P</t>
  </si>
  <si>
    <t xml:space="preserve">Material usado</t>
  </si>
  <si>
    <t xml:space="preserve">Cuba</t>
  </si>
  <si>
    <t xml:space="preserve">Total Produção</t>
  </si>
  <si>
    <t xml:space="preserve">Status</t>
  </si>
  <si>
    <t xml:space="preserve">Colaborador</t>
  </si>
  <si>
    <t xml:space="preserve">Medição</t>
  </si>
  <si>
    <t xml:space="preserve">Guto e Sandra</t>
  </si>
  <si>
    <t xml:space="preserve">Lavabo Diretoria</t>
  </si>
  <si>
    <t xml:space="preserve">G</t>
  </si>
  <si>
    <t xml:space="preserve">PSG Escovado</t>
  </si>
  <si>
    <t xml:space="preserve">WELLINGTON</t>
  </si>
  <si>
    <t xml:space="preserve">Copa</t>
  </si>
  <si>
    <t xml:space="preserve">PSG</t>
  </si>
  <si>
    <t xml:space="preserve">PEDRO</t>
  </si>
  <si>
    <t xml:space="preserve">Lavabo </t>
  </si>
  <si>
    <t xml:space="preserve">MATEUS</t>
  </si>
  <si>
    <t xml:space="preserve">Lavatório</t>
  </si>
  <si>
    <t xml:space="preserve">Melissa</t>
  </si>
  <si>
    <t xml:space="preserve">Soleiras</t>
  </si>
  <si>
    <t xml:space="preserve">Branco Siena</t>
  </si>
  <si>
    <t xml:space="preserve">Soleiras box</t>
  </si>
  <si>
    <t xml:space="preserve">I</t>
  </si>
  <si>
    <t xml:space="preserve">Snow White</t>
  </si>
  <si>
    <t xml:space="preserve">Instalação cuba</t>
  </si>
  <si>
    <t xml:space="preserve">DOALSEI</t>
  </si>
  <si>
    <t xml:space="preserve">Felipe Vicentini</t>
  </si>
  <si>
    <t xml:space="preserve">Lavanderia</t>
  </si>
  <si>
    <t xml:space="preserve">Bancada</t>
  </si>
  <si>
    <t xml:space="preserve">Marcus Trippia</t>
  </si>
  <si>
    <t xml:space="preserve">Banheiro</t>
  </si>
  <si>
    <t xml:space="preserve">mão de obra</t>
  </si>
  <si>
    <t xml:space="preserve">Luiz Alexandre</t>
  </si>
  <si>
    <t xml:space="preserve">Cristaleira</t>
  </si>
  <si>
    <t xml:space="preserve">Limestone Vermont Anticato</t>
  </si>
  <si>
    <t xml:space="preserve">Vinicius Tiradentes</t>
  </si>
  <si>
    <t xml:space="preserve">Lavabo</t>
  </si>
  <si>
    <t xml:space="preserve">Metalic</t>
  </si>
  <si>
    <t xml:space="preserve">M</t>
  </si>
  <si>
    <t xml:space="preserve">Premium</t>
  </si>
  <si>
    <t xml:space="preserve">Cozinha</t>
  </si>
  <si>
    <t xml:space="preserve">Suíte</t>
  </si>
  <si>
    <t xml:space="preserve">Nicho</t>
  </si>
  <si>
    <t xml:space="preserve">Social</t>
  </si>
  <si>
    <t xml:space="preserve">Lareira</t>
  </si>
  <si>
    <t xml:space="preserve">Cabeceiras</t>
  </si>
  <si>
    <t xml:space="preserve">Buffet</t>
  </si>
  <si>
    <t xml:space="preserve">Churrasqueira</t>
  </si>
  <si>
    <t xml:space="preserve">Ricardo Schuarts</t>
  </si>
  <si>
    <t xml:space="preserve">Premium/Prime</t>
  </si>
  <si>
    <t xml:space="preserve">Degrau curvo</t>
  </si>
  <si>
    <t xml:space="preserve">Andrea</t>
  </si>
  <si>
    <t xml:space="preserve">Mesa</t>
  </si>
  <si>
    <t xml:space="preserve">Branco Paraná</t>
  </si>
  <si>
    <t xml:space="preserve">Rodrigo Bianco</t>
  </si>
  <si>
    <t xml:space="preserve">Lavanderia </t>
  </si>
  <si>
    <t xml:space="preserve">Itaúnas</t>
  </si>
  <si>
    <t xml:space="preserve">Jantar</t>
  </si>
  <si>
    <t xml:space="preserve">Quartzito Calacatta Lux</t>
  </si>
  <si>
    <t xml:space="preserve">Mármore Salvatore </t>
  </si>
  <si>
    <t xml:space="preserve">Giovana </t>
  </si>
  <si>
    <t xml:space="preserve">Vinícius Negrão</t>
  </si>
  <si>
    <t xml:space="preserve">Gustavo (Carol Cava)</t>
  </si>
  <si>
    <t xml:space="preserve">Soleiras / pingadeiras</t>
  </si>
  <si>
    <t xml:space="preserve">Preto São Gabriel</t>
  </si>
  <si>
    <t xml:space="preserve">Nara</t>
  </si>
  <si>
    <t xml:space="preserve">Sóculos</t>
  </si>
  <si>
    <t xml:space="preserve">Daniel Almeida</t>
  </si>
  <si>
    <t xml:space="preserve">Itaúnas Levigado</t>
  </si>
  <si>
    <t xml:space="preserve">Hall serviço</t>
  </si>
  <si>
    <t xml:space="preserve">Verde Labrador</t>
  </si>
  <si>
    <t xml:space="preserve">Ático</t>
  </si>
  <si>
    <t xml:space="preserve">Lavabo ático</t>
  </si>
  <si>
    <t xml:space="preserve">Bruno Candido</t>
  </si>
  <si>
    <t xml:space="preserve">Nicho social</t>
  </si>
  <si>
    <t xml:space="preserve">Nicho suíte</t>
  </si>
  <si>
    <t xml:space="preserve">Gabriela Fedrizzi</t>
  </si>
  <si>
    <t xml:space="preserve">Rebaixo italiano</t>
  </si>
  <si>
    <t xml:space="preserve">Limestone Royale</t>
  </si>
  <si>
    <t xml:space="preserve">Aloísio</t>
  </si>
  <si>
    <t xml:space="preserve">Nero Mich. Escovado</t>
  </si>
  <si>
    <t xml:space="preserve">Lúcia</t>
  </si>
  <si>
    <t xml:space="preserve">Tampo 01</t>
  </si>
  <si>
    <t xml:space="preserve">Tampo 02</t>
  </si>
  <si>
    <t xml:space="preserve">Piscina</t>
  </si>
  <si>
    <t xml:space="preserve">Estrutura Metálica</t>
  </si>
  <si>
    <t xml:space="preserve">Repal Ltda</t>
  </si>
  <si>
    <t xml:space="preserve">Calacatta D´oro</t>
  </si>
  <si>
    <t xml:space="preserve">Piso e Hall</t>
  </si>
  <si>
    <t xml:space="preserve">Piso Lavabo </t>
  </si>
  <si>
    <t xml:space="preserve">Victor Oliveira</t>
  </si>
  <si>
    <t xml:space="preserve">Taj Mahal</t>
  </si>
  <si>
    <t xml:space="preserve">Banheiro </t>
  </si>
  <si>
    <t xml:space="preserve">Adicional de alteração de acabamento de 02 cm para 04 cm.</t>
  </si>
  <si>
    <t xml:space="preserve">Rafael Machado</t>
  </si>
  <si>
    <t xml:space="preserve">Escada</t>
  </si>
  <si>
    <t xml:space="preserve">Jocelen</t>
  </si>
  <si>
    <t xml:space="preserve">Júlio Moreira</t>
  </si>
  <si>
    <t xml:space="preserve">Bronze Armani</t>
  </si>
  <si>
    <t xml:space="preserve">Morgana</t>
  </si>
  <si>
    <t xml:space="preserve">Suíte 01</t>
  </si>
  <si>
    <t xml:space="preserve">Suíte 02</t>
  </si>
  <si>
    <t xml:space="preserve">Afonso Albrecht</t>
  </si>
  <si>
    <t xml:space="preserve">Painel TV</t>
  </si>
  <si>
    <t xml:space="preserve">Bruna Barbosa</t>
  </si>
  <si>
    <t xml:space="preserve">BWC Serviço</t>
  </si>
  <si>
    <t xml:space="preserve">Bwc Master</t>
  </si>
  <si>
    <t xml:space="preserve">Bwc Social</t>
  </si>
  <si>
    <t xml:space="preserve">Maria Quadri</t>
  </si>
  <si>
    <t xml:space="preserve">Bello Alimentos</t>
  </si>
  <si>
    <t xml:space="preserve">Cinza Corumbá</t>
  </si>
  <si>
    <t xml:space="preserve">BWC hóspedes</t>
  </si>
  <si>
    <t xml:space="preserve">Branco Moura</t>
  </si>
  <si>
    <t xml:space="preserve">BWC quarto TV</t>
  </si>
  <si>
    <t xml:space="preserve">Nicho Lareira</t>
  </si>
  <si>
    <t xml:space="preserve">Cozinha </t>
  </si>
  <si>
    <t xml:space="preserve">Quartzito Monet</t>
  </si>
  <si>
    <t xml:space="preserve">G </t>
  </si>
  <si>
    <t xml:space="preserve">Débora Oliani</t>
  </si>
  <si>
    <t xml:space="preserve">Sala Jantar</t>
  </si>
  <si>
    <t xml:space="preserve">Siena</t>
  </si>
  <si>
    <t xml:space="preserve">Adicional mão de obra para corte e instalação de tampo </t>
  </si>
  <si>
    <t xml:space="preserve">Miréia </t>
  </si>
  <si>
    <t xml:space="preserve">Cozinha/lavanderia</t>
  </si>
  <si>
    <t xml:space="preserve">Danielle Gillis</t>
  </si>
  <si>
    <t xml:space="preserve">Rodopias</t>
  </si>
  <si>
    <t xml:space="preserve">Rocyr</t>
  </si>
  <si>
    <t xml:space="preserve">Banheiro 01</t>
  </si>
  <si>
    <t xml:space="preserve">Jazz White</t>
  </si>
  <si>
    <t xml:space="preserve">Banheiro 02</t>
  </si>
  <si>
    <t xml:space="preserve">Diogo</t>
  </si>
  <si>
    <t xml:space="preserve">Branco Paraná Levig.</t>
  </si>
  <si>
    <t xml:space="preserve">Alessandra</t>
  </si>
  <si>
    <t xml:space="preserve">Painel</t>
  </si>
  <si>
    <t xml:space="preserve">Paulo Trada</t>
  </si>
  <si>
    <t xml:space="preserve">Sacada</t>
  </si>
  <si>
    <t xml:space="preserve">Neolith Strata Argentum</t>
  </si>
  <si>
    <t xml:space="preserve">Carlos Machado</t>
  </si>
  <si>
    <t xml:space="preserve">Branco Paraná Kronos</t>
  </si>
  <si>
    <t xml:space="preserve">Casal</t>
  </si>
  <si>
    <t xml:space="preserve">Luana Zap</t>
  </si>
  <si>
    <t xml:space="preserve">Tampo Copa</t>
  </si>
  <si>
    <t xml:space="preserve">Cinza Andorinha</t>
  </si>
  <si>
    <t xml:space="preserve">WELLIGTON</t>
  </si>
  <si>
    <t xml:space="preserve">Alessandro</t>
  </si>
  <si>
    <t xml:space="preserve">Bancada Churrasq.</t>
  </si>
  <si>
    <t xml:space="preserve">WELLIGNTON</t>
  </si>
  <si>
    <t xml:space="preserve">Painel Gourmet</t>
  </si>
  <si>
    <t xml:space="preserve">Travertino Nacional</t>
  </si>
  <si>
    <t xml:space="preserve">Walter Ribas</t>
  </si>
  <si>
    <t xml:space="preserve">Cinza Andorinha Lev.</t>
  </si>
  <si>
    <t xml:space="preserve">Hóspedes</t>
  </si>
  <si>
    <t xml:space="preserve">Nicho </t>
  </si>
  <si>
    <t xml:space="preserve">Social </t>
  </si>
  <si>
    <t xml:space="preserve">Regina e Paulo</t>
  </si>
  <si>
    <t xml:space="preserve">Tampo churrasq.</t>
  </si>
  <si>
    <t xml:space="preserve">Ilha Churrasq.</t>
  </si>
  <si>
    <t xml:space="preserve">Boca Churrasq.</t>
  </si>
  <si>
    <t xml:space="preserve">Prateleira 01</t>
  </si>
  <si>
    <t xml:space="preserve">Prateleira 02</t>
  </si>
  <si>
    <t xml:space="preserve">Nilagge</t>
  </si>
  <si>
    <t xml:space="preserve">Branco Ceará</t>
  </si>
  <si>
    <t xml:space="preserve">Felipe Scarpin</t>
  </si>
  <si>
    <t xml:space="preserve">Tampa Banheira</t>
  </si>
  <si>
    <t xml:space="preserve">Contorno Banheira</t>
  </si>
  <si>
    <t xml:space="preserve">Marco Antônio</t>
  </si>
  <si>
    <t xml:space="preserve">Ricardo Kern</t>
  </si>
  <si>
    <t xml:space="preserve">Retirar tampos existentes</t>
  </si>
  <si>
    <t xml:space="preserve">Ilha Cozinha</t>
  </si>
  <si>
    <t xml:space="preserve">Soely Delben</t>
  </si>
  <si>
    <t xml:space="preserve">Ana Luísa</t>
  </si>
  <si>
    <t xml:space="preserve">San Pelegrino Escovado</t>
  </si>
  <si>
    <t xml:space="preserve">Branco Siena Extra</t>
  </si>
  <si>
    <t xml:space="preserve">Hóspedes Térreo</t>
  </si>
  <si>
    <t xml:space="preserve">Suíte </t>
  </si>
  <si>
    <t xml:space="preserve">Nichos </t>
  </si>
  <si>
    <t xml:space="preserve">Banh. Academia</t>
  </si>
  <si>
    <t xml:space="preserve">Tesserve</t>
  </si>
  <si>
    <t xml:space="preserve">BWC recepção</t>
  </si>
  <si>
    <t xml:space="preserve">BWC reunião</t>
  </si>
  <si>
    <t xml:space="preserve">retrabalho</t>
  </si>
  <si>
    <t xml:space="preserve">RETRABALHO</t>
  </si>
  <si>
    <t xml:space="preserve">Gourmet</t>
  </si>
  <si>
    <t xml:space="preserve">Claudia Cortes</t>
  </si>
  <si>
    <t xml:space="preserve">Sóculo</t>
  </si>
  <si>
    <t xml:space="preserve">Adriana</t>
  </si>
  <si>
    <t xml:space="preserve">Amarelo Ornamental</t>
  </si>
  <si>
    <t xml:space="preserve">Corredor</t>
  </si>
  <si>
    <t xml:space="preserve">Aparador </t>
  </si>
  <si>
    <t xml:space="preserve">Mesa reunião</t>
  </si>
  <si>
    <t xml:space="preserve">Paola</t>
  </si>
  <si>
    <t xml:space="preserve">Soleira box</t>
  </si>
  <si>
    <t xml:space="preserve">Tanque Tramontina 40x40</t>
  </si>
  <si>
    <t xml:space="preserve">Cuba Tramontina 50x40 quadratta</t>
  </si>
  <si>
    <t xml:space="preserve">Juliana Uratani</t>
  </si>
  <si>
    <t xml:space="preserve">Suíte Master</t>
  </si>
  <si>
    <t xml:space="preserve">Banh. Escritório</t>
  </si>
  <si>
    <t xml:space="preserve">Prateleira</t>
  </si>
  <si>
    <t xml:space="preserve">Banh. Bebê</t>
  </si>
  <si>
    <t xml:space="preserve">Sóculos </t>
  </si>
  <si>
    <t xml:space="preserve">Leosamar</t>
  </si>
  <si>
    <t xml:space="preserve">Bruno Molteni</t>
  </si>
  <si>
    <t xml:space="preserve">BWC</t>
  </si>
  <si>
    <t xml:space="preserve">Gisele </t>
  </si>
  <si>
    <t xml:space="preserve">Instalação</t>
  </si>
  <si>
    <t xml:space="preserve">Marrom Tabaco</t>
  </si>
  <si>
    <t xml:space="preserve">Mão de obra prateleiras</t>
  </si>
  <si>
    <t xml:space="preserve">Ana Domingues</t>
  </si>
  <si>
    <t xml:space="preserve">Nicho Suíte</t>
  </si>
  <si>
    <t xml:space="preserve">Nicho Social</t>
  </si>
  <si>
    <t xml:space="preserve">Humberto</t>
  </si>
  <si>
    <t xml:space="preserve">Moldura porta</t>
  </si>
  <si>
    <t xml:space="preserve">Esterilização</t>
  </si>
  <si>
    <t xml:space="preserve">Banh. Funcionários</t>
  </si>
  <si>
    <t xml:space="preserve">Área de serviço</t>
  </si>
  <si>
    <t xml:space="preserve">Dml</t>
  </si>
  <si>
    <t xml:space="preserve">Sandra Meirelles</t>
  </si>
  <si>
    <t xml:space="preserve">Silestone Kensho Suede</t>
  </si>
  <si>
    <t xml:space="preserve">Lucas Rodrigues</t>
  </si>
  <si>
    <t xml:space="preserve">Filho</t>
  </si>
  <si>
    <t xml:space="preserve">Soleiras Banheiros </t>
  </si>
  <si>
    <t xml:space="preserve">Consultório 04</t>
  </si>
  <si>
    <t xml:space="preserve">Nero Michelangelo</t>
  </si>
  <si>
    <t xml:space="preserve">Filha</t>
  </si>
  <si>
    <t xml:space="preserve">Sinduscon</t>
  </si>
  <si>
    <t xml:space="preserve">Bar</t>
  </si>
  <si>
    <t xml:space="preserve">Preto Via Láctea</t>
  </si>
  <si>
    <t xml:space="preserve">Floreiras</t>
  </si>
  <si>
    <t xml:space="preserve">PSG escovado</t>
  </si>
  <si>
    <t xml:space="preserve">Nicho e soleira</t>
  </si>
  <si>
    <t xml:space="preserve">Gabriel Zanon</t>
  </si>
  <si>
    <t xml:space="preserve">Sala </t>
  </si>
  <si>
    <t xml:space="preserve">Verde Escovado</t>
  </si>
  <si>
    <t xml:space="preserve">Gisele</t>
  </si>
  <si>
    <t xml:space="preserve">Espelhos sacada</t>
  </si>
  <si>
    <t xml:space="preserve">Instalação </t>
  </si>
  <si>
    <t xml:space="preserve">BWC Piscina</t>
  </si>
  <si>
    <t xml:space="preserve">BWC Brinquedoteca</t>
  </si>
  <si>
    <t xml:space="preserve">Louisy</t>
  </si>
  <si>
    <t xml:space="preserve">Itaúnas Escovado</t>
  </si>
  <si>
    <t xml:space="preserve">Joyce </t>
  </si>
  <si>
    <t xml:space="preserve">Cinthia</t>
  </si>
  <si>
    <t xml:space="preserve">Branco Dallas</t>
  </si>
  <si>
    <t xml:space="preserve">Adicional Mesa</t>
  </si>
  <si>
    <t xml:space="preserve">Sérgio</t>
  </si>
  <si>
    <t xml:space="preserve">Cristiane</t>
  </si>
  <si>
    <t xml:space="preserve">Perla Venata</t>
  </si>
  <si>
    <t xml:space="preserve">Gisela </t>
  </si>
  <si>
    <t xml:space="preserve">Tampo Social</t>
  </si>
  <si>
    <t xml:space="preserve">Tampo Suíte</t>
  </si>
  <si>
    <t xml:space="preserve">Paróquia</t>
  </si>
  <si>
    <t xml:space="preserve">Altar</t>
  </si>
  <si>
    <t xml:space="preserve">Sédia</t>
  </si>
  <si>
    <t xml:space="preserve">Ambão</t>
  </si>
  <si>
    <t xml:space="preserve">Mesa lateral</t>
  </si>
  <si>
    <t xml:space="preserve">Gustavo Baggio</t>
  </si>
  <si>
    <t xml:space="preserve">instalação</t>
  </si>
  <si>
    <t xml:space="preserve">Polysos</t>
  </si>
  <si>
    <t xml:space="preserve">Reforma de pia</t>
  </si>
  <si>
    <t xml:space="preserve">Doalsei</t>
  </si>
  <si>
    <t xml:space="preserve">Luiz Campanholo</t>
  </si>
  <si>
    <t xml:space="preserve">Remoção de mancha</t>
  </si>
  <si>
    <t xml:space="preserve">Sandra</t>
  </si>
  <si>
    <t xml:space="preserve">JFK Investimentos</t>
  </si>
  <si>
    <t xml:space="preserve">BWC Térreo</t>
  </si>
  <si>
    <t xml:space="preserve">Ana Jarves</t>
  </si>
  <si>
    <t xml:space="preserve">Tampo </t>
  </si>
  <si>
    <t xml:space="preserve">Gabriel Ribas</t>
  </si>
  <si>
    <t xml:space="preserve">Social 01</t>
  </si>
  <si>
    <t xml:space="preserve">Francielle</t>
  </si>
  <si>
    <t xml:space="preserve">sóculos</t>
  </si>
  <si>
    <t xml:space="preserve">Dekton Marmorio</t>
  </si>
  <si>
    <t xml:space="preserve">Iara Varela</t>
  </si>
  <si>
    <t xml:space="preserve">pedra fogão</t>
  </si>
  <si>
    <t xml:space="preserve">Mario Torquato</t>
  </si>
  <si>
    <t xml:space="preserve">Taj Mahal escovado</t>
  </si>
  <si>
    <t xml:space="preserve">Bwc 03</t>
  </si>
  <si>
    <t xml:space="preserve">Trav. Nac. Escovado</t>
  </si>
  <si>
    <t xml:space="preserve">Vanderley</t>
  </si>
  <si>
    <t xml:space="preserve">Viviane</t>
  </si>
  <si>
    <t xml:space="preserve">Cuba Tramontina 56x34x17</t>
  </si>
  <si>
    <t xml:space="preserve">Sóculos cozinha</t>
  </si>
  <si>
    <t xml:space="preserve">Grigio Michelangelo </t>
  </si>
  <si>
    <t xml:space="preserve">Soleiras sacada</t>
  </si>
  <si>
    <t xml:space="preserve">Acesso</t>
  </si>
  <si>
    <t xml:space="preserve">Cinza andorinha</t>
  </si>
  <si>
    <t xml:space="preserve">Alimentare</t>
  </si>
  <si>
    <t xml:space="preserve">Divisystem</t>
  </si>
  <si>
    <t xml:space="preserve">Bwc masculino </t>
  </si>
  <si>
    <t xml:space="preserve">Metalic </t>
  </si>
  <si>
    <t xml:space="preserve">Bwc feminino </t>
  </si>
  <si>
    <t xml:space="preserve">Suely Regina</t>
  </si>
  <si>
    <t xml:space="preserve">Suíte tampo</t>
  </si>
  <si>
    <t xml:space="preserve">Social tampo</t>
  </si>
  <si>
    <t xml:space="preserve">La Bola</t>
  </si>
  <si>
    <t xml:space="preserve">Salão </t>
  </si>
  <si>
    <t xml:space="preserve">Tampo pia</t>
  </si>
  <si>
    <t xml:space="preserve">Tampo Bancada</t>
  </si>
  <si>
    <t xml:space="preserve">Tampo Ilha</t>
  </si>
  <si>
    <t xml:space="preserve">Gerson Postai</t>
  </si>
  <si>
    <t xml:space="preserve">Bwc</t>
  </si>
  <si>
    <t xml:space="preserve">BWC Home</t>
  </si>
  <si>
    <t xml:space="preserve">Rebaixo Italiano </t>
  </si>
  <si>
    <t xml:space="preserve">Branco Marfim</t>
  </si>
  <si>
    <t xml:space="preserve">Antônio Sergio</t>
  </si>
  <si>
    <t xml:space="preserve">Colagem cuba</t>
  </si>
  <si>
    <t xml:space="preserve">BWC Feminino</t>
  </si>
  <si>
    <t xml:space="preserve">BWC Masculino</t>
  </si>
  <si>
    <t xml:space="preserve">Ana Simão</t>
  </si>
  <si>
    <t xml:space="preserve">Comp. Lavanderia</t>
  </si>
  <si>
    <t xml:space="preserve">Nicho lareira</t>
  </si>
  <si>
    <t xml:space="preserve">Elaine Cristina</t>
  </si>
  <si>
    <t xml:space="preserve">Ana Paula</t>
  </si>
  <si>
    <t xml:space="preserve">Tampo</t>
  </si>
  <si>
    <t xml:space="preserve">Adriana Schoefel</t>
  </si>
  <si>
    <t xml:space="preserve">João Vasconcelos</t>
  </si>
  <si>
    <t xml:space="preserve">Cinza Andorinha escovado</t>
  </si>
  <si>
    <t xml:space="preserve">BWC Mateus</t>
  </si>
  <si>
    <t xml:space="preserve">BWC Duda</t>
  </si>
  <si>
    <t xml:space="preserve">Bwc Casal </t>
  </si>
  <si>
    <t xml:space="preserve">Dekton Rem</t>
  </si>
  <si>
    <t xml:space="preserve">Tatiane Rodrigues</t>
  </si>
  <si>
    <t xml:space="preserve">Milano Macchiato</t>
  </si>
  <si>
    <t xml:space="preserve">Sala Atendimento</t>
  </si>
  <si>
    <t xml:space="preserve">Lavabo (soleiras)</t>
  </si>
  <si>
    <t xml:space="preserve">Travertino </t>
  </si>
  <si>
    <t xml:space="preserve">Base lareira</t>
  </si>
  <si>
    <t xml:space="preserve">Travertino N. escovado </t>
  </si>
  <si>
    <t xml:space="preserve">Contorno lareira</t>
  </si>
  <si>
    <t xml:space="preserve">Branco Siena escovado</t>
  </si>
  <si>
    <t xml:space="preserve">Tampa Churrasqueira</t>
  </si>
  <si>
    <t xml:space="preserve">Limestone</t>
  </si>
  <si>
    <t xml:space="preserve">Victor Vanhoni</t>
  </si>
  <si>
    <t xml:space="preserve">BWC Suíte</t>
  </si>
  <si>
    <t xml:space="preserve">Branco Paraná escovado</t>
  </si>
  <si>
    <t xml:space="preserve">BWC Social</t>
  </si>
  <si>
    <t xml:space="preserve">Nicho banheiro</t>
  </si>
  <si>
    <t xml:space="preserve">Nicho Piscina</t>
  </si>
  <si>
    <t xml:space="preserve">Diego Rodrigo</t>
  </si>
  <si>
    <t xml:space="preserve">04 banheiros</t>
  </si>
  <si>
    <t xml:space="preserve">ADÃO</t>
  </si>
  <si>
    <t xml:space="preserve">Soleira mureta</t>
  </si>
  <si>
    <t xml:space="preserve">Lucas</t>
  </si>
  <si>
    <t xml:space="preserve">Hilda Machado</t>
  </si>
  <si>
    <t xml:space="preserve">Paróquia formigueiro</t>
  </si>
  <si>
    <t xml:space="preserve">Bancos</t>
  </si>
  <si>
    <t xml:space="preserve">Wilson Cassone</t>
  </si>
  <si>
    <t xml:space="preserve">Perla Venatta</t>
  </si>
  <si>
    <t xml:space="preserve">Gilson Mange</t>
  </si>
  <si>
    <t xml:space="preserve">White Led</t>
  </si>
  <si>
    <t xml:space="preserve">Adicional nicho</t>
  </si>
  <si>
    <t xml:space="preserve">Balcão TV</t>
  </si>
  <si>
    <t xml:space="preserve">Bancada recepção</t>
  </si>
  <si>
    <t xml:space="preserve">Kouros escovado</t>
  </si>
  <si>
    <t xml:space="preserve">Janete Varela</t>
  </si>
  <si>
    <t xml:space="preserve">Travertino nacional</t>
  </si>
  <si>
    <t xml:space="preserve">Estar íntimo</t>
  </si>
  <si>
    <t xml:space="preserve">Mármore Grey Ice</t>
  </si>
  <si>
    <t xml:space="preserve">Piso elevador</t>
  </si>
  <si>
    <t xml:space="preserve">Samuelle</t>
  </si>
  <si>
    <t xml:space="preserve">Adicional escovação material lareira</t>
  </si>
  <si>
    <t xml:space="preserve">Home</t>
  </si>
  <si>
    <t xml:space="preserve">Dekton Kelya</t>
  </si>
  <si>
    <t xml:space="preserve">Cuba 56x34x17</t>
  </si>
  <si>
    <t xml:space="preserve">Escadas</t>
  </si>
  <si>
    <t xml:space="preserve">Itaúnas escovado</t>
  </si>
  <si>
    <t xml:space="preserve">Leonardo Barrelli </t>
  </si>
  <si>
    <t xml:space="preserve">Biancatto acetinado</t>
  </si>
  <si>
    <t xml:space="preserve">Banheiro ático</t>
  </si>
  <si>
    <t xml:space="preserve">Bancada sacada</t>
  </si>
  <si>
    <t xml:space="preserve">Maurício </t>
  </si>
  <si>
    <t xml:space="preserve">Café Imperial</t>
  </si>
  <si>
    <t xml:space="preserve">Cuba Tramontina dupla invertida 77x45x15</t>
  </si>
  <si>
    <t xml:space="preserve">Cuba oval incepa grande embutir</t>
  </si>
  <si>
    <t xml:space="preserve">Verde Labrador Escovado</t>
  </si>
  <si>
    <t xml:space="preserve">Rebaixo Italiano</t>
  </si>
  <si>
    <t xml:space="preserve">Ilha</t>
  </si>
  <si>
    <t xml:space="preserve">Impermeabilização dos tampos</t>
  </si>
  <si>
    <t xml:space="preserve">Leandro Grippo</t>
  </si>
  <si>
    <t xml:space="preserve">Donatello levigado</t>
  </si>
  <si>
    <t xml:space="preserve">Travertino</t>
  </si>
  <si>
    <t xml:space="preserve">Guilherme</t>
  </si>
  <si>
    <t xml:space="preserve">Milano Prime</t>
  </si>
  <si>
    <t xml:space="preserve">Marielva</t>
  </si>
  <si>
    <t xml:space="preserve">Soleira churrasqueira</t>
  </si>
  <si>
    <t xml:space="preserve">Colunas porta vidro</t>
  </si>
  <si>
    <t xml:space="preserve">Mão de obra</t>
  </si>
  <si>
    <t xml:space="preserve">Mariana Lopes</t>
  </si>
  <si>
    <t xml:space="preserve">WELINGTON</t>
  </si>
  <si>
    <t xml:space="preserve">Suíte master</t>
  </si>
  <si>
    <t xml:space="preserve">Travertino R. B. R. L</t>
  </si>
  <si>
    <t xml:space="preserve">Clayton Reis</t>
  </si>
  <si>
    <t xml:space="preserve">Ronoaldo</t>
  </si>
  <si>
    <t xml:space="preserve">Rodapés</t>
  </si>
  <si>
    <t xml:space="preserve">Maria do Rocio</t>
  </si>
  <si>
    <t xml:space="preserve">Piso / BANCOS</t>
  </si>
  <si>
    <t xml:space="preserve">Granito Imperial </t>
  </si>
  <si>
    <t xml:space="preserve">MÁRCIO</t>
  </si>
  <si>
    <t xml:space="preserve">Paula Marconcin</t>
  </si>
  <si>
    <t xml:space="preserve">Tanque Tramontina 50x40</t>
  </si>
  <si>
    <t xml:space="preserve">Leonardo Monteiro</t>
  </si>
  <si>
    <t xml:space="preserve">Carrara White</t>
  </si>
  <si>
    <t xml:space="preserve">Degraus de acesso</t>
  </si>
  <si>
    <t xml:space="preserve">Branco Siena Jateado</t>
  </si>
  <si>
    <t xml:space="preserve">Moldura</t>
  </si>
  <si>
    <t xml:space="preserve">Travertino Romano Bruto</t>
  </si>
  <si>
    <t xml:space="preserve">Banheira</t>
  </si>
  <si>
    <t xml:space="preserve">Gustavo Camargo</t>
  </si>
  <si>
    <t xml:space="preserve">Branco Paraná Levigado</t>
  </si>
  <si>
    <t xml:space="preserve">BWC </t>
  </si>
  <si>
    <t xml:space="preserve">Bellage</t>
  </si>
  <si>
    <t xml:space="preserve">Parede </t>
  </si>
  <si>
    <t xml:space="preserve">Tampo 03</t>
  </si>
  <si>
    <t xml:space="preserve">Vanessa Bueno</t>
  </si>
  <si>
    <t xml:space="preserve">Franklim </t>
  </si>
  <si>
    <t xml:space="preserve">Tampos</t>
  </si>
  <si>
    <t xml:space="preserve">Luiz Bernardo</t>
  </si>
  <si>
    <t xml:space="preserve">Exportação</t>
  </si>
  <si>
    <t xml:space="preserve">Jaime Cesar</t>
  </si>
  <si>
    <t xml:space="preserve">BWC 01</t>
  </si>
  <si>
    <t xml:space="preserve">Nicho bwc 01</t>
  </si>
  <si>
    <t xml:space="preserve">Nicho bwc 02</t>
  </si>
  <si>
    <t xml:space="preserve">Café imperial polido</t>
  </si>
  <si>
    <t xml:space="preserve">Estrutura metálica para sustentação de tampo</t>
  </si>
  <si>
    <t xml:space="preserve">Bwc 02 </t>
  </si>
  <si>
    <t xml:space="preserve">ajuste bancada </t>
  </si>
  <si>
    <t xml:space="preserve">nicho suíte master</t>
  </si>
  <si>
    <t xml:space="preserve">branco itaunas</t>
  </si>
  <si>
    <t xml:space="preserve">nicho e ajuste cozinha</t>
  </si>
  <si>
    <t xml:space="preserve">granito amarelo</t>
  </si>
  <si>
    <t xml:space="preserve">soleira</t>
  </si>
  <si>
    <t xml:space="preserve">café imperial     </t>
  </si>
  <si>
    <t xml:space="preserve">Claudio Alves</t>
  </si>
  <si>
    <t xml:space="preserve">Verde Guatemala</t>
  </si>
  <si>
    <t xml:space="preserve">Bruna Arins</t>
  </si>
  <si>
    <t xml:space="preserve">Marina Serrato</t>
  </si>
  <si>
    <t xml:space="preserve">Taxa para deslocamento para medição e entrega</t>
  </si>
  <si>
    <t xml:space="preserve">Amanda Vitória  </t>
  </si>
  <si>
    <t xml:space="preserve">Maria Luiza</t>
  </si>
  <si>
    <t xml:space="preserve">PSG polido</t>
  </si>
  <si>
    <t xml:space="preserve">Sandra Ribas</t>
  </si>
  <si>
    <t xml:space="preserve">Rojo alicante</t>
  </si>
  <si>
    <t xml:space="preserve">soleiras</t>
  </si>
  <si>
    <t xml:space="preserve">Itaunas</t>
  </si>
  <si>
    <t xml:space="preserve">Portal Do Lago</t>
  </si>
  <si>
    <t xml:space="preserve">Mão de obra instalação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</si>
  <si>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</si>
  <si>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Amanda </t>
  </si>
  <si>
    <t xml:space="preserve">Cozinha/social/ suíte</t>
  </si>
  <si>
    <t xml:space="preserve">Chianca di Ostuni</t>
  </si>
  <si>
    <t xml:space="preserve"> </t>
  </si>
  <si>
    <t xml:space="preserve">River Brow</t>
  </si>
  <si>
    <t xml:space="preserve">Varanda</t>
  </si>
  <si>
    <t xml:space="preserve">Preto Absoluto</t>
  </si>
  <si>
    <t xml:space="preserve">Adicional sóculos </t>
  </si>
  <si>
    <t xml:space="preserve">Adicional soleira</t>
  </si>
  <si>
    <t xml:space="preserve">Lareira </t>
  </si>
  <si>
    <t xml:space="preserve">Tampo atendimento 03</t>
  </si>
  <si>
    <t xml:space="preserve">Cinthia Cordeiro</t>
  </si>
  <si>
    <t xml:space="preserve">Cuba Tramontina 40x34x17</t>
  </si>
  <si>
    <t xml:space="preserve">Mesas</t>
  </si>
  <si>
    <t xml:space="preserve">Mesa cabeceira</t>
  </si>
  <si>
    <t xml:space="preserve">Adicional Soleiras</t>
  </si>
  <si>
    <t xml:space="preserve">Leonardo Barrelli</t>
  </si>
  <si>
    <t xml:space="preserve">Taj Mahal esc. Euromax</t>
  </si>
  <si>
    <t xml:space="preserve">Tampo Café</t>
  </si>
  <si>
    <t xml:space="preserve">Rogério Gomes</t>
  </si>
  <si>
    <t xml:space="preserve">Taj mahal escovado</t>
  </si>
  <si>
    <t xml:space="preserve">Cozinha/churrasqueira</t>
  </si>
  <si>
    <t xml:space="preserve">Sóculos suíte</t>
  </si>
  <si>
    <t xml:space="preserve">Nicho cozinha</t>
  </si>
  <si>
    <t xml:space="preserve">Adicional soleiras</t>
  </si>
  <si>
    <t xml:space="preserve">Itaúnas </t>
  </si>
  <si>
    <t xml:space="preserve">Danielle Spack</t>
  </si>
  <si>
    <t xml:space="preserve">Tampo Banheiro</t>
  </si>
  <si>
    <t xml:space="preserve">Cuba Deca Semi Encaixe Retangular L.63040.17 Branca 40x30</t>
  </si>
  <si>
    <t xml:space="preserve">RELATÓRIO DO RESULTADO TOTAL DA EMPRESA</t>
  </si>
  <si>
    <t xml:space="preserve">ANO 2025</t>
  </si>
  <si>
    <t xml:space="preserve">PEDIDOS DO PAZELLO</t>
  </si>
  <si>
    <t xml:space="preserve">M2 orçado</t>
  </si>
  <si>
    <t xml:space="preserve">M2 utilizado</t>
  </si>
  <si>
    <t xml:space="preserve">Cubas</t>
  </si>
  <si>
    <t xml:space="preserve">Produção</t>
  </si>
  <si>
    <t xml:space="preserve">Custo Geral</t>
  </si>
  <si>
    <t xml:space="preserve">Contas pagas</t>
  </si>
  <si>
    <t xml:space="preserve">Investimento</t>
  </si>
  <si>
    <t xml:space="preserve">retrabalhos </t>
  </si>
  <si>
    <t xml:space="preserve">L/P material</t>
  </si>
  <si>
    <t xml:space="preserve">Custo Prod. M2</t>
  </si>
  <si>
    <t xml:space="preserve">Venda m2</t>
  </si>
  <si>
    <t xml:space="preserve">INDICE RT</t>
  </si>
  <si>
    <t xml:space="preserve">RT Acumulada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</si>
  <si>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</si>
  <si>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</si>
  <si>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</si>
  <si>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</si>
  <si>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</si>
  <si>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</si>
  <si>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</si>
  <si>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</si>
  <si>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</si>
  <si>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</si>
  <si>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</si>
  <si>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</si>
  <si>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Total</t>
  </si>
  <si>
    <t xml:space="preserve">Liquido</t>
  </si>
  <si>
    <t xml:space="preserve">Bruto</t>
  </si>
  <si>
    <t xml:space="preserve">Custo Real</t>
  </si>
  <si>
    <t xml:space="preserve">Custo Total</t>
  </si>
  <si>
    <t xml:space="preserve">retrabalhos</t>
  </si>
  <si>
    <t xml:space="preserve">lucro e prejuizo material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</si>
</sst>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/m/yyyy"/>
    <numFmt numFmtId="166" formatCode="_-&quot;R$ &quot;* #,##0.00_-;&quot;-R$ &quot;* #,##0.00_-;_-&quot;R$ &quot;* \-??_-;_-@_-"/>
    <numFmt numFmtId="167" formatCode="#,##0.00"/>
    <numFmt numFmtId="168" formatCode="&quot;R$ &quot;#,##0.00"/>
    <numFmt numFmtId="169" formatCode="00000"/>
    <numFmt numFmtId="170" formatCode="&quot;R$&quot;#,##0.00"/>
    <numFmt numFmtId="171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0"/>
      <name val="Arial"/>
      <family val="2"/>
      <charset val="1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4"/>
      <color theme="1"/>
      <name val="Arial"/>
      <family val="2"/>
      <charset val="1"/>
    </font>
    <font>
      <sz val="8.5"/>
      <name val="Arial"/>
      <family val="2"/>
      <charset val="1"/>
    </font>
    <font>
      <b val="true"/>
      <sz val="7.5"/>
      <name val="Arial"/>
      <family val="2"/>
      <charset val="1"/>
    </font>
    <font>
      <b val="true"/>
      <sz val="8.5"/>
      <name val="Arial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theme="3" tint="0.5999"/>
        <bgColor rgb="FFBFBFBF"/>
      </patternFill>
    </fill>
    <fill>
      <patternFill patternType="solid">
        <fgColor rgb="FFFFC000"/>
        <bgColor rgb="FFFF9933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theme="7" tint="-0.25"/>
        <bgColor rgb="FFCC9900"/>
      </patternFill>
    </fill>
    <fill>
      <patternFill patternType="solid">
        <fgColor theme="0" tint="-0.25"/>
        <bgColor rgb="FFADB9CA"/>
      </patternFill>
    </fill>
    <fill>
      <patternFill patternType="solid">
        <fgColor theme="7" tint="0.5999"/>
        <bgColor rgb="FFF8CBAD"/>
      </patternFill>
    </fill>
    <fill>
      <patternFill patternType="solid">
        <fgColor theme="5" tint="0.3999"/>
        <bgColor rgb="FFF8CBAD"/>
      </patternFill>
    </fill>
    <fill>
      <patternFill patternType="solid">
        <fgColor theme="9" tint="0.5999"/>
        <bgColor rgb="FFD9D9D9"/>
      </patternFill>
    </fill>
    <fill>
      <patternFill patternType="solid">
        <fgColor theme="9" tint="0.3999"/>
        <bgColor rgb="FFC5E0B4"/>
      </patternFill>
    </fill>
    <fill>
      <patternFill patternType="solid">
        <fgColor theme="5" tint="0.5999"/>
        <bgColor rgb="FFFFE699"/>
      </patternFill>
    </fill>
    <fill>
      <patternFill patternType="solid">
        <fgColor theme="0"/>
        <bgColor rgb="FFFFFFCC"/>
      </patternFill>
    </fill>
    <fill>
      <patternFill patternType="solid">
        <fgColor rgb="FF00B050"/>
        <bgColor rgb="FF339966"/>
      </patternFill>
    </fill>
    <fill>
      <patternFill patternType="solid">
        <fgColor theme="0" tint="-0.15"/>
        <bgColor rgb="FFC5E0B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5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7" borderId="1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7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9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1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1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1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889"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  <dxf>
      <fill>
        <patternFill>
          <bgColor rgb="FF996633"/>
        </patternFill>
      </fill>
    </dxf>
    <dxf>
      <fill>
        <patternFill>
          <bgColor rgb="FFFFFF00"/>
        </patternFill>
      </fill>
    </dxf>
    <dxf>
      <fill>
        <patternFill>
          <bgColor rgb="FF339966"/>
        </patternFill>
      </fill>
    </dxf>
    <dxf>
      <fill>
        <patternFill>
          <bgColor theme="9" tint="0.5999"/>
        </patternFill>
      </fill>
    </dxf>
    <dxf>
      <fill>
        <patternFill>
          <bgColor rgb="FFFF9933"/>
        </patternFill>
      </fill>
    </dxf>
    <dxf>
      <fill>
        <patternFill>
          <bgColor theme="4" tint="0.5999"/>
        </patternFill>
      </fill>
    </dxf>
    <dxf>
      <fill>
        <patternFill>
          <bgColor rgb="FFCC99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96633"/>
      <rgbColor rgb="FF800080"/>
      <rgbColor rgb="FF00B050"/>
      <rgbColor rgb="FFBFBFBF"/>
      <rgbColor rgb="FF808080"/>
      <rgbColor rgb="FF9999FF"/>
      <rgbColor rgb="FF993366"/>
      <rgbColor rgb="FFFFFFCC"/>
      <rgbColor rgb="FFD9D9D9"/>
      <rgbColor rgb="FF660066"/>
      <rgbColor rgb="FFFF8080"/>
      <rgbColor rgb="FF0066CC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E699"/>
      <rgbColor rgb="FFADB9CA"/>
      <rgbColor rgb="FFF4B183"/>
      <rgbColor rgb="FFCC99FF"/>
      <rgbColor rgb="FFF8CBAD"/>
      <rgbColor rgb="FF3366FF"/>
      <rgbColor rgb="FF33CCCC"/>
      <rgbColor rgb="FFCC9900"/>
      <rgbColor rgb="FFFFC000"/>
      <rgbColor rgb="FFFF9933"/>
      <rgbColor rgb="FFBF9000"/>
      <rgbColor rgb="FF666699"/>
      <rgbColor rgb="FFA9D18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2" activeCellId="0" sqref="A4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2" style="0" width="19"/>
    <col collapsed="false" customWidth="true" hidden="false" outlineLevel="0" max="3" min="3" style="0" width="15.72"/>
    <col collapsed="false" customWidth="true" hidden="false" outlineLevel="0" max="4" min="4" style="0" width="7.15"/>
    <col collapsed="false" customWidth="true" hidden="false" outlineLevel="0" max="5" min="5" style="0" width="26.29"/>
    <col collapsed="false" customWidth="true" hidden="false" outlineLevel="0" max="7" min="7" style="0" width="8"/>
    <col collapsed="false" customWidth="true" hidden="false" outlineLevel="0" max="11" min="11" style="0" width="13.14"/>
    <col collapsed="false" customWidth="true" hidden="false" outlineLevel="0" max="12" min="12" style="0" width="11.72"/>
    <col collapsed="false" customWidth="true" hidden="false" outlineLevel="0" max="13" min="13" style="0" width="14.71"/>
    <col collapsed="false" customWidth="true" hidden="false" outlineLevel="0" max="14" min="14" style="0" width="11.15"/>
    <col collapsed="false" customWidth="true" hidden="false" outlineLevel="0" max="15" min="15" style="0" width="14.71"/>
    <col collapsed="false" customWidth="true" hidden="false" outlineLevel="0" max="16" min="16" style="0" width="13"/>
    <col collapsed="false" customWidth="true" hidden="false" outlineLevel="0" max="18" min="18" style="0" width="12"/>
  </cols>
  <sheetData>
    <row r="1" customFormat="false" ht="16.4" hidden="false" customHeight="false" outlineLevel="0" collapsed="false">
      <c r="A1" s="1"/>
      <c r="C1" s="2"/>
      <c r="D1" s="1"/>
      <c r="F1" s="1"/>
      <c r="G1" s="1"/>
      <c r="H1" s="1"/>
      <c r="I1" s="1"/>
      <c r="J1" s="3" t="s">
        <v>0</v>
      </c>
      <c r="K1" s="4" t="s">
        <v>1</v>
      </c>
      <c r="L1" s="5" t="s">
        <v>2</v>
      </c>
      <c r="M1" s="6" t="s">
        <v>3</v>
      </c>
      <c r="N1" s="3" t="s">
        <v>4</v>
      </c>
      <c r="O1" s="7" t="s">
        <v>5</v>
      </c>
      <c r="P1" s="8" t="s">
        <v>6</v>
      </c>
      <c r="Q1" s="9" t="s">
        <v>3</v>
      </c>
      <c r="R1" s="10"/>
      <c r="S1" s="11"/>
    </row>
    <row r="2" customFormat="false" ht="15" hidden="false" customHeight="false" outlineLevel="0" collapsed="false">
      <c r="A2" s="1"/>
      <c r="C2" s="2"/>
      <c r="D2" s="1"/>
      <c r="F2" s="1"/>
      <c r="G2" s="1"/>
      <c r="H2" s="1"/>
      <c r="I2" s="1"/>
      <c r="J2" s="1"/>
      <c r="K2" s="12"/>
      <c r="L2" s="13"/>
      <c r="M2" s="14"/>
      <c r="N2" s="15"/>
      <c r="O2" s="10"/>
      <c r="P2" s="1"/>
      <c r="Q2" s="11"/>
      <c r="R2" s="10"/>
      <c r="S2" s="11"/>
    </row>
    <row r="3" customFormat="false" ht="16.4" hidden="false" customHeight="false" outlineLevel="0" collapsed="false">
      <c r="A3" s="16" t="s">
        <v>7</v>
      </c>
      <c r="B3" s="16" t="s">
        <v>8</v>
      </c>
      <c r="C3" s="16" t="s">
        <v>9</v>
      </c>
      <c r="D3" s="16"/>
      <c r="E3" s="16" t="s">
        <v>10</v>
      </c>
      <c r="F3" s="16" t="s">
        <v>11</v>
      </c>
      <c r="G3" s="16" t="s">
        <v>12</v>
      </c>
      <c r="H3" s="17" t="s">
        <v>13</v>
      </c>
      <c r="I3" s="16" t="s">
        <v>14</v>
      </c>
      <c r="J3" s="16" t="s">
        <v>15</v>
      </c>
      <c r="K3" s="16" t="s">
        <v>16</v>
      </c>
      <c r="L3" s="18" t="s">
        <v>17</v>
      </c>
      <c r="M3" s="18" t="s">
        <v>18</v>
      </c>
      <c r="N3" s="19" t="s">
        <v>19</v>
      </c>
      <c r="O3" s="18"/>
      <c r="P3" s="16" t="s">
        <v>20</v>
      </c>
      <c r="Q3" s="20"/>
      <c r="R3" s="21"/>
      <c r="S3" s="16" t="s">
        <v>21</v>
      </c>
    </row>
    <row r="4" customFormat="false" ht="16.4" hidden="false" customHeight="false" outlineLevel="0" collapsed="false">
      <c r="A4" s="1" t="n">
        <v>6071</v>
      </c>
      <c r="B4" s="0" t="s">
        <v>22</v>
      </c>
      <c r="C4" s="0" t="s">
        <v>23</v>
      </c>
      <c r="D4" s="1" t="s">
        <v>24</v>
      </c>
      <c r="E4" s="0" t="s">
        <v>25</v>
      </c>
      <c r="F4" s="1" t="n">
        <v>1.35</v>
      </c>
      <c r="G4" s="1" t="n">
        <v>1.35</v>
      </c>
      <c r="H4" s="1" t="n">
        <f aca="false">-((G4*100/F4)-100)</f>
        <v>-0</v>
      </c>
      <c r="I4" s="1" t="n">
        <v>270</v>
      </c>
      <c r="J4" s="1" t="n">
        <f aca="false">(F4-G4)*I4</f>
        <v>0</v>
      </c>
      <c r="K4" s="1" t="n">
        <f aca="false">G4*I4</f>
        <v>364.5</v>
      </c>
      <c r="M4" s="10" t="n">
        <v>1754</v>
      </c>
      <c r="N4" s="3" t="s">
        <v>4</v>
      </c>
      <c r="O4" s="10" t="n">
        <v>1754</v>
      </c>
      <c r="P4" s="0" t="s">
        <v>26</v>
      </c>
      <c r="R4" s="10" t="n">
        <f aca="false">(O4-L4)/G4</f>
        <v>1299.25925925926</v>
      </c>
    </row>
    <row r="5" customFormat="false" ht="16.4" hidden="false" customHeight="false" outlineLevel="0" collapsed="false">
      <c r="A5" s="1" t="n">
        <v>6071</v>
      </c>
      <c r="B5" s="0" t="s">
        <v>22</v>
      </c>
      <c r="C5" s="0" t="s">
        <v>27</v>
      </c>
      <c r="D5" s="1" t="s">
        <v>24</v>
      </c>
      <c r="E5" s="0" t="s">
        <v>28</v>
      </c>
      <c r="F5" s="1" t="n">
        <v>2.48</v>
      </c>
      <c r="G5" s="1" t="n">
        <v>2.54</v>
      </c>
      <c r="H5" s="1" t="n">
        <f aca="false">-((G5*100/F5)-100)</f>
        <v>-2.41935483870968</v>
      </c>
      <c r="I5" s="1" t="n">
        <v>224</v>
      </c>
      <c r="J5" s="1" t="n">
        <f aca="false">(F5-G5)*I5</f>
        <v>-13.44</v>
      </c>
      <c r="K5" s="1" t="n">
        <f aca="false">G5*I5</f>
        <v>568.96</v>
      </c>
      <c r="M5" s="10" t="n">
        <v>3066</v>
      </c>
      <c r="N5" s="3" t="s">
        <v>4</v>
      </c>
      <c r="O5" s="10" t="n">
        <v>3066</v>
      </c>
      <c r="P5" s="0" t="s">
        <v>29</v>
      </c>
      <c r="R5" s="10" t="n">
        <f aca="false">(O5-L5)/G5</f>
        <v>1207.08661417323</v>
      </c>
    </row>
    <row r="6" customFormat="false" ht="16.4" hidden="false" customHeight="false" outlineLevel="0" collapsed="false">
      <c r="A6" s="1" t="n">
        <v>6071</v>
      </c>
      <c r="B6" s="0" t="s">
        <v>22</v>
      </c>
      <c r="C6" s="0" t="s">
        <v>30</v>
      </c>
      <c r="D6" s="1" t="s">
        <v>24</v>
      </c>
      <c r="E6" s="0" t="s">
        <v>25</v>
      </c>
      <c r="F6" s="1" t="n">
        <v>0.79</v>
      </c>
      <c r="G6" s="1" t="n">
        <v>0.79</v>
      </c>
      <c r="H6" s="1" t="n">
        <f aca="false">-((G6*100/F6)-100)</f>
        <v>-0</v>
      </c>
      <c r="I6" s="1" t="n">
        <v>270</v>
      </c>
      <c r="J6" s="1" t="n">
        <f aca="false">(F6-G6)*I6</f>
        <v>0</v>
      </c>
      <c r="K6" s="1" t="n">
        <f aca="false">G6*I6</f>
        <v>213.3</v>
      </c>
      <c r="M6" s="10" t="n">
        <v>1027</v>
      </c>
      <c r="N6" s="3" t="s">
        <v>4</v>
      </c>
      <c r="O6" s="10" t="n">
        <v>2054</v>
      </c>
      <c r="P6" s="0" t="s">
        <v>26</v>
      </c>
      <c r="R6" s="10" t="n">
        <f aca="false">(O6-L6)/G6</f>
        <v>2600</v>
      </c>
    </row>
    <row r="7" customFormat="false" ht="16.4" hidden="false" customHeight="false" outlineLevel="0" collapsed="false">
      <c r="A7" s="1" t="n">
        <v>6071</v>
      </c>
      <c r="B7" s="0" t="s">
        <v>22</v>
      </c>
      <c r="C7" s="0" t="s">
        <v>30</v>
      </c>
      <c r="D7" s="1" t="s">
        <v>24</v>
      </c>
      <c r="E7" s="0" t="s">
        <v>25</v>
      </c>
      <c r="F7" s="1" t="n">
        <v>0.79</v>
      </c>
      <c r="G7" s="1" t="n">
        <v>0.79</v>
      </c>
      <c r="H7" s="1" t="n">
        <f aca="false">-((G7*100/F7)-100)</f>
        <v>-0</v>
      </c>
      <c r="I7" s="1" t="n">
        <v>270</v>
      </c>
      <c r="J7" s="1" t="n">
        <f aca="false">(F7-G7)*I7</f>
        <v>0</v>
      </c>
      <c r="K7" s="1" t="n">
        <f aca="false">G7*I7</f>
        <v>213.3</v>
      </c>
      <c r="M7" s="10" t="n">
        <v>1027</v>
      </c>
      <c r="N7" s="3" t="s">
        <v>4</v>
      </c>
      <c r="O7" s="10" t="n">
        <v>2054</v>
      </c>
      <c r="P7" s="0" t="s">
        <v>31</v>
      </c>
      <c r="R7" s="10" t="n">
        <f aca="false">(O7-L7)/G7</f>
        <v>2600</v>
      </c>
    </row>
    <row r="8" customFormat="false" ht="16.4" hidden="false" customHeight="false" outlineLevel="0" collapsed="false">
      <c r="A8" s="1" t="n">
        <v>6071</v>
      </c>
      <c r="B8" s="0" t="s">
        <v>22</v>
      </c>
      <c r="C8" s="0" t="s">
        <v>32</v>
      </c>
      <c r="D8" s="1" t="s">
        <v>24</v>
      </c>
      <c r="E8" s="0" t="s">
        <v>25</v>
      </c>
      <c r="F8" s="1" t="n">
        <v>2.14</v>
      </c>
      <c r="G8" s="1" t="n">
        <v>2.14</v>
      </c>
      <c r="H8" s="1" t="n">
        <f aca="false">-((G8*100/F8)-100)</f>
        <v>-0</v>
      </c>
      <c r="I8" s="1" t="n">
        <v>270</v>
      </c>
      <c r="J8" s="1" t="n">
        <f aca="false">(F8-G8)*I8</f>
        <v>0</v>
      </c>
      <c r="K8" s="1" t="n">
        <f aca="false">G8*I8</f>
        <v>577.8</v>
      </c>
      <c r="M8" s="10" t="n">
        <v>2781</v>
      </c>
      <c r="N8" s="3" t="s">
        <v>4</v>
      </c>
      <c r="O8" s="10" t="n">
        <v>2781</v>
      </c>
      <c r="P8" s="0" t="s">
        <v>26</v>
      </c>
      <c r="R8" s="10" t="n">
        <f aca="false">(O8-L8)/G8</f>
        <v>1299.53271028037</v>
      </c>
    </row>
    <row r="9" customFormat="false" ht="15" hidden="false" customHeight="false" outlineLevel="0" collapsed="false">
      <c r="I9" s="1"/>
    </row>
    <row r="10" customFormat="false" ht="16.4" hidden="false" customHeight="false" outlineLevel="0" collapsed="false">
      <c r="A10" s="1" t="n">
        <v>6082</v>
      </c>
      <c r="B10" s="0" t="s">
        <v>33</v>
      </c>
      <c r="C10" s="0" t="s">
        <v>34</v>
      </c>
      <c r="D10" s="1" t="s">
        <v>24</v>
      </c>
      <c r="E10" s="0" t="s">
        <v>35</v>
      </c>
      <c r="F10" s="1" t="n">
        <v>1.09</v>
      </c>
      <c r="G10" s="1" t="n">
        <v>1.09</v>
      </c>
      <c r="H10" s="1" t="n">
        <f aca="false">-((G10*100/F10)-100)</f>
        <v>-0</v>
      </c>
      <c r="I10" s="1" t="n">
        <v>239</v>
      </c>
      <c r="J10" s="1" t="n">
        <f aca="false">(F10-G10)*I10</f>
        <v>0</v>
      </c>
      <c r="K10" s="1" t="n">
        <f aca="false">G10*I10</f>
        <v>260.51</v>
      </c>
      <c r="M10" s="22" t="n">
        <v>1265</v>
      </c>
      <c r="N10" s="3" t="s">
        <v>4</v>
      </c>
      <c r="O10" s="22" t="n">
        <v>1265</v>
      </c>
      <c r="P10" s="0" t="s">
        <v>31</v>
      </c>
      <c r="R10" s="10" t="n">
        <f aca="false">(O10-L10)/G10</f>
        <v>1160.5504587156</v>
      </c>
    </row>
    <row r="11" customFormat="false" ht="16.4" hidden="false" customHeight="false" outlineLevel="0" collapsed="false">
      <c r="A11" s="1" t="n">
        <v>6082</v>
      </c>
      <c r="B11" s="0" t="s">
        <v>33</v>
      </c>
      <c r="C11" s="0" t="s">
        <v>36</v>
      </c>
      <c r="D11" s="1" t="s">
        <v>37</v>
      </c>
      <c r="E11" s="0" t="s">
        <v>38</v>
      </c>
      <c r="F11" s="1" t="n">
        <v>0.61</v>
      </c>
      <c r="G11" s="1" t="n">
        <v>0.61</v>
      </c>
      <c r="H11" s="1" t="n">
        <f aca="false">-((G11*100/F11)-100)</f>
        <v>-0</v>
      </c>
      <c r="I11" s="1" t="n">
        <v>401</v>
      </c>
      <c r="J11" s="1" t="n">
        <f aca="false">(F11-G11)*I11</f>
        <v>0</v>
      </c>
      <c r="K11" s="1" t="n">
        <f aca="false">G11*I11</f>
        <v>244.61</v>
      </c>
      <c r="M11" s="23" t="n">
        <v>802</v>
      </c>
      <c r="N11" s="3" t="s">
        <v>4</v>
      </c>
      <c r="O11" s="23" t="n">
        <v>802</v>
      </c>
      <c r="P11" s="0" t="s">
        <v>31</v>
      </c>
      <c r="R11" s="10" t="n">
        <f aca="false">(O11-L11)/G11</f>
        <v>1314.75409836066</v>
      </c>
    </row>
    <row r="12" customFormat="false" ht="16.4" hidden="false" customHeight="false" outlineLevel="0" collapsed="false">
      <c r="A12" s="1" t="n">
        <v>6082</v>
      </c>
      <c r="B12" s="0" t="s">
        <v>33</v>
      </c>
      <c r="C12" s="0" t="s">
        <v>39</v>
      </c>
      <c r="D12" s="1"/>
      <c r="H12" s="1" t="e">
        <f aca="false">-((G12*100/F12)-100)</f>
        <v>#DIV/0!</v>
      </c>
      <c r="I12" s="1"/>
      <c r="J12" s="1" t="n">
        <f aca="false">(F12-G12)*I12</f>
        <v>0</v>
      </c>
      <c r="K12" s="1" t="n">
        <f aca="false">G12*I12</f>
        <v>0</v>
      </c>
      <c r="M12" s="23" t="n">
        <v>233</v>
      </c>
      <c r="N12" s="3" t="s">
        <v>4</v>
      </c>
      <c r="O12" s="23" t="n">
        <v>233</v>
      </c>
      <c r="P12" s="0" t="s">
        <v>40</v>
      </c>
      <c r="R12" s="10" t="e">
        <f aca="false">(O12-L12)/G12</f>
        <v>#DIV/0!</v>
      </c>
    </row>
    <row r="14" customFormat="false" ht="16.4" hidden="false" customHeight="false" outlineLevel="0" collapsed="false">
      <c r="A14" s="1" t="n">
        <v>6076</v>
      </c>
      <c r="B14" s="0" t="s">
        <v>41</v>
      </c>
      <c r="C14" s="0" t="s">
        <v>42</v>
      </c>
      <c r="D14" s="1" t="s">
        <v>37</v>
      </c>
      <c r="E14" s="0" t="s">
        <v>38</v>
      </c>
      <c r="F14" s="1" t="n">
        <v>3.82</v>
      </c>
      <c r="G14" s="1" t="n">
        <v>3.82</v>
      </c>
      <c r="H14" s="1" t="n">
        <f aca="false">-((G14*100/F14)-100)</f>
        <v>-0</v>
      </c>
      <c r="I14" s="1" t="n">
        <v>401</v>
      </c>
      <c r="J14" s="1" t="n">
        <f aca="false">(F14-G14)*I14</f>
        <v>0</v>
      </c>
      <c r="K14" s="1" t="n">
        <f aca="false">G14*I14</f>
        <v>1531.82</v>
      </c>
      <c r="M14" s="23" t="n">
        <v>5476</v>
      </c>
      <c r="N14" s="3" t="s">
        <v>4</v>
      </c>
      <c r="O14" s="23" t="n">
        <v>5476</v>
      </c>
      <c r="P14" s="0" t="s">
        <v>26</v>
      </c>
      <c r="R14" s="10" t="n">
        <f aca="false">(O14-L14)/G14</f>
        <v>1433.50785340314</v>
      </c>
    </row>
    <row r="15" customFormat="false" ht="16.4" hidden="false" customHeight="false" outlineLevel="0" collapsed="false">
      <c r="A15" s="1" t="n">
        <v>6076</v>
      </c>
      <c r="B15" s="0" t="s">
        <v>41</v>
      </c>
      <c r="C15" s="0" t="s">
        <v>43</v>
      </c>
      <c r="D15" s="1" t="s">
        <v>37</v>
      </c>
      <c r="E15" s="0" t="s">
        <v>38</v>
      </c>
      <c r="F15" s="1" t="n">
        <v>4.23</v>
      </c>
      <c r="G15" s="1" t="n">
        <v>4.23</v>
      </c>
      <c r="H15" s="1" t="n">
        <f aca="false">-((G15*100/F15)-100)</f>
        <v>-0</v>
      </c>
      <c r="I15" s="1" t="n">
        <v>401</v>
      </c>
      <c r="J15" s="1" t="n">
        <f aca="false">(F15-G15)*I15</f>
        <v>0</v>
      </c>
      <c r="K15" s="1" t="n">
        <f aca="false">G15*I15</f>
        <v>1696.23</v>
      </c>
      <c r="M15" s="23" t="n">
        <v>6063</v>
      </c>
      <c r="N15" s="3" t="s">
        <v>4</v>
      </c>
      <c r="O15" s="23" t="n">
        <v>6063</v>
      </c>
      <c r="P15" s="0" t="s">
        <v>26</v>
      </c>
      <c r="R15" s="10" t="n">
        <f aca="false">(O15-L15)/G15</f>
        <v>1433.33333333333</v>
      </c>
    </row>
    <row r="16" customFormat="false" ht="15" hidden="false" customHeight="false" outlineLevel="0" collapsed="false">
      <c r="A16" s="1"/>
      <c r="D16" s="1"/>
      <c r="F16" s="1"/>
      <c r="G16" s="1"/>
      <c r="H16" s="1"/>
      <c r="I16" s="1"/>
      <c r="J16" s="1"/>
      <c r="K16" s="1"/>
      <c r="M16" s="23"/>
      <c r="N16" s="3"/>
      <c r="O16" s="23"/>
      <c r="R16" s="10"/>
    </row>
    <row r="17" customFormat="false" ht="16.4" hidden="false" customHeight="false" outlineLevel="0" collapsed="false">
      <c r="A17" s="1" t="n">
        <v>6081</v>
      </c>
      <c r="B17" s="0" t="s">
        <v>44</v>
      </c>
      <c r="C17" s="0" t="s">
        <v>45</v>
      </c>
      <c r="D17" s="1"/>
      <c r="E17" s="0" t="s">
        <v>46</v>
      </c>
      <c r="F17" s="1" t="n">
        <v>5.08</v>
      </c>
      <c r="G17" s="0" t="n">
        <v>0</v>
      </c>
      <c r="H17" s="1" t="n">
        <f aca="false">-((G17*100/F17)-100)</f>
        <v>100</v>
      </c>
      <c r="I17" s="1" t="n">
        <v>0</v>
      </c>
      <c r="J17" s="1" t="n">
        <f aca="false">(F17-G17)*I17</f>
        <v>0</v>
      </c>
      <c r="K17" s="1" t="n">
        <f aca="false">G17*I17</f>
        <v>0</v>
      </c>
      <c r="M17" s="23" t="n">
        <v>3923</v>
      </c>
      <c r="N17" s="3" t="s">
        <v>4</v>
      </c>
      <c r="O17" s="23" t="n">
        <v>3923</v>
      </c>
      <c r="P17" s="0" t="s">
        <v>26</v>
      </c>
      <c r="R17" s="10" t="e">
        <f aca="false">(O17-L17)/G17</f>
        <v>#DIV/0!</v>
      </c>
    </row>
    <row r="19" customFormat="false" ht="16.4" hidden="false" customHeight="false" outlineLevel="0" collapsed="false">
      <c r="A19" s="1" t="n">
        <v>6068</v>
      </c>
      <c r="B19" s="0" t="s">
        <v>47</v>
      </c>
      <c r="C19" s="0" t="s">
        <v>48</v>
      </c>
      <c r="D19" s="1" t="s">
        <v>37</v>
      </c>
      <c r="E19" s="0" t="s">
        <v>49</v>
      </c>
      <c r="F19" s="1" t="n">
        <v>1.12</v>
      </c>
      <c r="G19" s="1" t="n">
        <v>1.12</v>
      </c>
      <c r="H19" s="1" t="n">
        <f aca="false">-((G19*100/F19)-100)</f>
        <v>-0</v>
      </c>
      <c r="I19" s="1" t="n">
        <v>450</v>
      </c>
      <c r="J19" s="1" t="n">
        <f aca="false">(F19-G19)*I19</f>
        <v>0</v>
      </c>
      <c r="K19" s="1" t="n">
        <f aca="false">G19*I19</f>
        <v>504</v>
      </c>
      <c r="M19" s="10" t="n">
        <v>1594</v>
      </c>
      <c r="N19" s="3" t="s">
        <v>4</v>
      </c>
      <c r="O19" s="10" t="n">
        <v>1594</v>
      </c>
      <c r="P19" s="0" t="s">
        <v>26</v>
      </c>
      <c r="R19" s="10" t="n">
        <f aca="false">(O19-L19)/G19</f>
        <v>1423.21428571429</v>
      </c>
    </row>
    <row r="20" customFormat="false" ht="15" hidden="false" customHeight="false" outlineLevel="0" collapsed="false">
      <c r="A20" s="1"/>
      <c r="D20" s="1"/>
      <c r="F20" s="1"/>
      <c r="G20" s="1"/>
      <c r="H20" s="1"/>
      <c r="I20" s="1"/>
      <c r="J20" s="1"/>
      <c r="K20" s="1"/>
      <c r="M20" s="10"/>
      <c r="N20" s="3"/>
      <c r="O20" s="10"/>
      <c r="R20" s="10"/>
    </row>
    <row r="21" customFormat="false" ht="16.4" hidden="false" customHeight="false" outlineLevel="0" collapsed="false">
      <c r="A21" s="1" t="n">
        <v>6074</v>
      </c>
      <c r="B21" s="0" t="s">
        <v>50</v>
      </c>
      <c r="C21" s="0" t="s">
        <v>51</v>
      </c>
      <c r="D21" s="1" t="s">
        <v>37</v>
      </c>
      <c r="E21" s="0" t="s">
        <v>52</v>
      </c>
      <c r="F21" s="1" t="n">
        <v>1.27</v>
      </c>
      <c r="G21" s="1" t="n">
        <v>1.27</v>
      </c>
      <c r="H21" s="1" t="n">
        <f aca="false">-((G21*100/F21)-100)</f>
        <v>-0</v>
      </c>
      <c r="I21" s="24" t="n">
        <v>529</v>
      </c>
      <c r="J21" s="1" t="n">
        <f aca="false">(F21-G21)*I21</f>
        <v>0</v>
      </c>
      <c r="K21" s="1" t="n">
        <f aca="false">G21*I21</f>
        <v>671.83</v>
      </c>
      <c r="M21" s="10" t="n">
        <v>1847</v>
      </c>
      <c r="N21" s="3" t="s">
        <v>4</v>
      </c>
      <c r="O21" s="10" t="n">
        <v>1847</v>
      </c>
      <c r="P21" s="0" t="s">
        <v>26</v>
      </c>
      <c r="R21" s="10" t="n">
        <f aca="false">(O21-L21)/G21</f>
        <v>1454.33070866142</v>
      </c>
    </row>
    <row r="22" customFormat="false" ht="16.4" hidden="false" customHeight="false" outlineLevel="0" collapsed="false">
      <c r="A22" s="1" t="n">
        <v>6074</v>
      </c>
      <c r="B22" s="0" t="s">
        <v>50</v>
      </c>
      <c r="C22" s="0" t="s">
        <v>42</v>
      </c>
      <c r="D22" s="1" t="s">
        <v>53</v>
      </c>
      <c r="E22" s="0" t="s">
        <v>54</v>
      </c>
      <c r="F22" s="1" t="n">
        <v>1.86</v>
      </c>
      <c r="G22" s="1" t="n">
        <v>1.86</v>
      </c>
      <c r="H22" s="1" t="n">
        <f aca="false">-((G22*100/F22)-100)</f>
        <v>-0</v>
      </c>
      <c r="I22" s="1" t="n">
        <v>730</v>
      </c>
      <c r="J22" s="1" t="n">
        <f aca="false">(F22-G22)*I22</f>
        <v>0</v>
      </c>
      <c r="K22" s="1" t="n">
        <f aca="false">G22*I22</f>
        <v>1357.8</v>
      </c>
      <c r="M22" s="10" t="n">
        <v>3346</v>
      </c>
      <c r="N22" s="3" t="s">
        <v>4</v>
      </c>
      <c r="O22" s="10" t="n">
        <v>3346</v>
      </c>
      <c r="P22" s="0" t="s">
        <v>29</v>
      </c>
      <c r="R22" s="10" t="n">
        <f aca="false">(O22-L22)/G22</f>
        <v>1798.9247311828</v>
      </c>
    </row>
    <row r="23" customFormat="false" ht="16.4" hidden="false" customHeight="false" outlineLevel="0" collapsed="false">
      <c r="A23" s="1" t="n">
        <v>6074</v>
      </c>
      <c r="B23" s="0" t="s">
        <v>50</v>
      </c>
      <c r="C23" s="0" t="s">
        <v>55</v>
      </c>
      <c r="D23" s="1" t="s">
        <v>53</v>
      </c>
      <c r="E23" s="0" t="s">
        <v>54</v>
      </c>
      <c r="F23" s="1" t="n">
        <v>8.29</v>
      </c>
      <c r="G23" s="1" t="n">
        <v>8.29</v>
      </c>
      <c r="H23" s="1" t="n">
        <f aca="false">-((G23*100/F23)-100)</f>
        <v>-0</v>
      </c>
      <c r="I23" s="1" t="n">
        <v>730</v>
      </c>
      <c r="J23" s="1" t="n">
        <f aca="false">(F23-G23)*I23</f>
        <v>0</v>
      </c>
      <c r="K23" s="1" t="n">
        <f aca="false">G23*I23</f>
        <v>6051.7</v>
      </c>
      <c r="M23" s="10" t="n">
        <v>14840</v>
      </c>
      <c r="N23" s="3" t="s">
        <v>4</v>
      </c>
      <c r="O23" s="10" t="n">
        <v>14840</v>
      </c>
      <c r="P23" s="0" t="s">
        <v>29</v>
      </c>
      <c r="R23" s="10" t="n">
        <f aca="false">(O23-L23)/G23</f>
        <v>1790.10856453559</v>
      </c>
    </row>
    <row r="24" customFormat="false" ht="16.4" hidden="false" customHeight="false" outlineLevel="0" collapsed="false">
      <c r="A24" s="1" t="n">
        <v>6074</v>
      </c>
      <c r="B24" s="0" t="s">
        <v>50</v>
      </c>
      <c r="C24" s="0" t="s">
        <v>56</v>
      </c>
      <c r="D24" s="1" t="s">
        <v>37</v>
      </c>
      <c r="E24" s="0" t="s">
        <v>38</v>
      </c>
      <c r="F24" s="1" t="n">
        <v>1.07</v>
      </c>
      <c r="G24" s="1" t="n">
        <v>1.07</v>
      </c>
      <c r="H24" s="1" t="n">
        <f aca="false">-((G24*100/F24)-100)</f>
        <v>-0</v>
      </c>
      <c r="I24" s="1" t="n">
        <v>401</v>
      </c>
      <c r="J24" s="1" t="n">
        <f aca="false">(F24-G24)*I24</f>
        <v>0</v>
      </c>
      <c r="K24" s="1" t="n">
        <f aca="false">G24*I24</f>
        <v>429.07</v>
      </c>
      <c r="M24" s="10" t="n">
        <v>1516</v>
      </c>
      <c r="N24" s="3" t="s">
        <v>4</v>
      </c>
      <c r="O24" s="10" t="n">
        <v>1516</v>
      </c>
      <c r="P24" s="0" t="s">
        <v>29</v>
      </c>
      <c r="R24" s="10" t="n">
        <f aca="false">(O24-L24)/G24</f>
        <v>1416.82242990654</v>
      </c>
    </row>
    <row r="25" customFormat="false" ht="16.4" hidden="false" customHeight="false" outlineLevel="0" collapsed="false">
      <c r="A25" s="1" t="n">
        <v>6074</v>
      </c>
      <c r="B25" s="0" t="s">
        <v>50</v>
      </c>
      <c r="C25" s="0" t="s">
        <v>57</v>
      </c>
      <c r="D25" s="1" t="s">
        <v>37</v>
      </c>
      <c r="E25" s="0" t="s">
        <v>38</v>
      </c>
      <c r="F25" s="1" t="n">
        <v>0.53</v>
      </c>
      <c r="G25" s="1" t="n">
        <v>0.53</v>
      </c>
      <c r="H25" s="1" t="n">
        <f aca="false">-((G25*100/F25)-100)</f>
        <v>-0</v>
      </c>
      <c r="I25" s="1" t="n">
        <v>401</v>
      </c>
      <c r="J25" s="1" t="n">
        <f aca="false">(F25-G25)*I25</f>
        <v>0</v>
      </c>
      <c r="K25" s="1" t="n">
        <f aca="false">G25*I25</f>
        <v>212.53</v>
      </c>
      <c r="M25" s="10" t="n">
        <v>750</v>
      </c>
      <c r="N25" s="3" t="s">
        <v>4</v>
      </c>
      <c r="O25" s="10" t="n">
        <v>750</v>
      </c>
      <c r="P25" s="0" t="s">
        <v>29</v>
      </c>
      <c r="R25" s="10" t="n">
        <f aca="false">(O25-L25)/G25</f>
        <v>1415.09433962264</v>
      </c>
    </row>
    <row r="26" customFormat="false" ht="16.4" hidden="false" customHeight="false" outlineLevel="0" collapsed="false">
      <c r="A26" s="1" t="n">
        <v>6074</v>
      </c>
      <c r="B26" s="0" t="s">
        <v>50</v>
      </c>
      <c r="C26" s="0" t="s">
        <v>58</v>
      </c>
      <c r="D26" s="1" t="s">
        <v>37</v>
      </c>
      <c r="E26" s="0" t="s">
        <v>38</v>
      </c>
      <c r="F26" s="1" t="n">
        <v>0.91</v>
      </c>
      <c r="G26" s="1" t="n">
        <v>0.91</v>
      </c>
      <c r="H26" s="1" t="n">
        <f aca="false">-((G26*100/F26)-100)</f>
        <v>-0</v>
      </c>
      <c r="I26" s="1" t="n">
        <v>401</v>
      </c>
      <c r="J26" s="1" t="n">
        <f aca="false">(F26-G26)*I26</f>
        <v>0</v>
      </c>
      <c r="K26" s="1" t="n">
        <f aca="false">G26*I26</f>
        <v>364.91</v>
      </c>
      <c r="M26" s="10" t="n">
        <v>1271</v>
      </c>
      <c r="N26" s="3" t="s">
        <v>4</v>
      </c>
      <c r="O26" s="10" t="n">
        <v>1271</v>
      </c>
      <c r="P26" s="0" t="s">
        <v>29</v>
      </c>
      <c r="R26" s="10" t="n">
        <f aca="false">(O26-L26)/G26</f>
        <v>1396.7032967033</v>
      </c>
    </row>
    <row r="27" customFormat="false" ht="16.4" hidden="false" customHeight="false" outlineLevel="0" collapsed="false">
      <c r="A27" s="1" t="n">
        <v>6074</v>
      </c>
      <c r="B27" s="0" t="s">
        <v>50</v>
      </c>
      <c r="C27" s="0" t="s">
        <v>57</v>
      </c>
      <c r="D27" s="1" t="s">
        <v>37</v>
      </c>
      <c r="E27" s="0" t="s">
        <v>38</v>
      </c>
      <c r="F27" s="1" t="n">
        <v>0.5</v>
      </c>
      <c r="G27" s="1" t="n">
        <v>0.5</v>
      </c>
      <c r="H27" s="1" t="n">
        <f aca="false">-((G27*100/F27)-100)</f>
        <v>-0</v>
      </c>
      <c r="I27" s="1" t="n">
        <v>401</v>
      </c>
      <c r="J27" s="1" t="n">
        <f aca="false">(F27-G27)*I27</f>
        <v>0</v>
      </c>
      <c r="K27" s="1" t="n">
        <f aca="false">G27*I27</f>
        <v>200.5</v>
      </c>
      <c r="M27" s="10" t="n">
        <v>707</v>
      </c>
      <c r="N27" s="3" t="s">
        <v>4</v>
      </c>
      <c r="O27" s="10" t="n">
        <v>707</v>
      </c>
      <c r="P27" s="0" t="s">
        <v>29</v>
      </c>
      <c r="R27" s="10" t="n">
        <f aca="false">(O27-L27)/G27</f>
        <v>1414</v>
      </c>
    </row>
    <row r="28" customFormat="false" ht="16.4" hidden="false" customHeight="false" outlineLevel="0" collapsed="false">
      <c r="A28" s="1" t="n">
        <v>6074</v>
      </c>
      <c r="B28" s="0" t="s">
        <v>50</v>
      </c>
      <c r="C28" s="0" t="s">
        <v>59</v>
      </c>
      <c r="D28" s="1" t="s">
        <v>53</v>
      </c>
      <c r="E28" s="0" t="s">
        <v>54</v>
      </c>
      <c r="F28" s="1" t="n">
        <v>1.35</v>
      </c>
      <c r="G28" s="1" t="n">
        <v>1.35</v>
      </c>
      <c r="H28" s="1" t="n">
        <f aca="false">-((G28*100/F28)-100)</f>
        <v>-0</v>
      </c>
      <c r="I28" s="1" t="n">
        <v>730</v>
      </c>
      <c r="J28" s="1" t="n">
        <f aca="false">(F28-G28)*I28</f>
        <v>0</v>
      </c>
      <c r="K28" s="1" t="n">
        <f aca="false">G28*I28</f>
        <v>985.5</v>
      </c>
      <c r="M28" s="10" t="n">
        <v>1723</v>
      </c>
      <c r="N28" s="3" t="s">
        <v>4</v>
      </c>
      <c r="O28" s="10" t="n">
        <v>1723</v>
      </c>
      <c r="P28" s="0" t="s">
        <v>29</v>
      </c>
      <c r="R28" s="10" t="n">
        <f aca="false">(O28-L28)/G28</f>
        <v>1276.2962962963</v>
      </c>
    </row>
    <row r="29" customFormat="false" ht="15" hidden="false" customHeight="false" outlineLevel="0" collapsed="false">
      <c r="A29" s="1"/>
      <c r="D29" s="1"/>
      <c r="F29" s="1"/>
      <c r="G29" s="1"/>
      <c r="H29" s="1"/>
      <c r="I29" s="1"/>
      <c r="J29" s="1"/>
      <c r="K29" s="1"/>
      <c r="M29" s="10"/>
      <c r="N29" s="3"/>
      <c r="O29" s="10"/>
      <c r="R29" s="10"/>
    </row>
    <row r="30" customFormat="false" ht="16.4" hidden="false" customHeight="false" outlineLevel="0" collapsed="false">
      <c r="A30" s="1" t="n">
        <v>6068</v>
      </c>
      <c r="B30" s="0" t="s">
        <v>47</v>
      </c>
      <c r="C30" s="0" t="s">
        <v>60</v>
      </c>
      <c r="D30" s="1" t="s">
        <v>37</v>
      </c>
      <c r="E30" s="0" t="s">
        <v>49</v>
      </c>
      <c r="F30" s="1" t="n">
        <v>0.65</v>
      </c>
      <c r="G30" s="1" t="n">
        <v>0.65</v>
      </c>
      <c r="H30" s="1" t="n">
        <f aca="false">-((G30*100/F30)-100)</f>
        <v>-0</v>
      </c>
      <c r="I30" s="1" t="n">
        <v>450</v>
      </c>
      <c r="J30" s="1" t="n">
        <f aca="false">(F30-G30)*I30</f>
        <v>0</v>
      </c>
      <c r="K30" s="1" t="n">
        <f aca="false">G30*I30</f>
        <v>292.5</v>
      </c>
      <c r="M30" s="10" t="n">
        <v>924</v>
      </c>
      <c r="N30" s="3" t="s">
        <v>4</v>
      </c>
      <c r="O30" s="10" t="n">
        <v>924</v>
      </c>
      <c r="P30" s="0" t="s">
        <v>26</v>
      </c>
      <c r="R30" s="10" t="n">
        <f aca="false">(O30-L30)/G30</f>
        <v>1421.53846153846</v>
      </c>
    </row>
    <row r="31" customFormat="false" ht="16.4" hidden="false" customHeight="false" outlineLevel="0" collapsed="false">
      <c r="A31" s="1" t="n">
        <v>6068</v>
      </c>
      <c r="B31" s="0" t="s">
        <v>47</v>
      </c>
      <c r="C31" s="0" t="s">
        <v>30</v>
      </c>
      <c r="D31" s="1" t="s">
        <v>53</v>
      </c>
      <c r="E31" s="0" t="s">
        <v>54</v>
      </c>
      <c r="F31" s="1" t="n">
        <v>1.01</v>
      </c>
      <c r="G31" s="1" t="n">
        <v>1.01</v>
      </c>
      <c r="H31" s="1" t="n">
        <f aca="false">-((G31*100/F31)-100)</f>
        <v>-0</v>
      </c>
      <c r="I31" s="1" t="n">
        <v>730</v>
      </c>
      <c r="J31" s="1" t="n">
        <f aca="false">(F31-G31)*I31</f>
        <v>0</v>
      </c>
      <c r="K31" s="1" t="n">
        <f aca="false">G31*I31</f>
        <v>737.3</v>
      </c>
      <c r="M31" s="10" t="n">
        <v>1918</v>
      </c>
      <c r="N31" s="3" t="s">
        <v>4</v>
      </c>
      <c r="O31" s="10" t="n">
        <v>1918</v>
      </c>
      <c r="P31" s="0" t="s">
        <v>29</v>
      </c>
      <c r="R31" s="10" t="n">
        <f aca="false">(O31-L31)/G31</f>
        <v>1899.0099009901</v>
      </c>
    </row>
    <row r="32" customFormat="false" ht="16.4" hidden="false" customHeight="false" outlineLevel="0" collapsed="false">
      <c r="A32" s="1" t="n">
        <v>6068</v>
      </c>
      <c r="B32" s="0" t="s">
        <v>47</v>
      </c>
      <c r="C32" s="0" t="s">
        <v>61</v>
      </c>
      <c r="D32" s="1" t="s">
        <v>37</v>
      </c>
      <c r="E32" s="0" t="s">
        <v>49</v>
      </c>
      <c r="F32" s="1" t="n">
        <v>1.08</v>
      </c>
      <c r="G32" s="1" t="n">
        <v>1.08</v>
      </c>
      <c r="H32" s="1" t="n">
        <f aca="false">-((G32*100/F32)-100)</f>
        <v>-0</v>
      </c>
      <c r="I32" s="1" t="n">
        <v>450</v>
      </c>
      <c r="J32" s="1" t="n">
        <f aca="false">(F32-G32)*I32</f>
        <v>0</v>
      </c>
      <c r="K32" s="1" t="n">
        <f aca="false">G32*I32</f>
        <v>486</v>
      </c>
      <c r="M32" s="10" t="n">
        <v>1537</v>
      </c>
      <c r="N32" s="3" t="s">
        <v>4</v>
      </c>
      <c r="O32" s="10" t="n">
        <v>1537</v>
      </c>
      <c r="P32" s="0" t="s">
        <v>26</v>
      </c>
      <c r="R32" s="10" t="n">
        <f aca="false">(O32-L32)/G32</f>
        <v>1423.14814814815</v>
      </c>
    </row>
    <row r="33" customFormat="false" ht="16.4" hidden="false" customHeight="false" outlineLevel="0" collapsed="false">
      <c r="A33" s="1" t="n">
        <v>6068</v>
      </c>
      <c r="B33" s="0" t="s">
        <v>47</v>
      </c>
      <c r="C33" s="0" t="s">
        <v>59</v>
      </c>
      <c r="D33" s="1" t="s">
        <v>53</v>
      </c>
      <c r="E33" s="0" t="s">
        <v>54</v>
      </c>
      <c r="F33" s="1" t="n">
        <v>9.65</v>
      </c>
      <c r="G33" s="1" t="n">
        <v>9.65</v>
      </c>
      <c r="H33" s="1" t="n">
        <f aca="false">-((G33*100/F33)-100)</f>
        <v>-0</v>
      </c>
      <c r="I33" s="1" t="n">
        <v>730</v>
      </c>
      <c r="J33" s="1" t="n">
        <f aca="false">(F33-G33)*I33</f>
        <v>0</v>
      </c>
      <c r="K33" s="1" t="n">
        <f aca="false">G33*I33</f>
        <v>7044.5</v>
      </c>
      <c r="M33" s="10" t="n">
        <v>18337</v>
      </c>
      <c r="N33" s="3" t="s">
        <v>4</v>
      </c>
      <c r="O33" s="10" t="n">
        <v>18337</v>
      </c>
      <c r="P33" s="0" t="s">
        <v>26</v>
      </c>
      <c r="R33" s="10" t="n">
        <f aca="false">(O33-L33)/G33</f>
        <v>1900.20725388601</v>
      </c>
    </row>
    <row r="34" customFormat="false" ht="15" hidden="false" customHeight="false" outlineLevel="0" collapsed="false">
      <c r="A34" s="1"/>
      <c r="D34" s="1"/>
      <c r="F34" s="1"/>
      <c r="G34" s="1"/>
      <c r="H34" s="1"/>
      <c r="I34" s="1"/>
      <c r="J34" s="1"/>
      <c r="K34" s="1"/>
      <c r="M34" s="10"/>
      <c r="N34" s="3"/>
      <c r="O34" s="10"/>
      <c r="R34" s="10"/>
    </row>
    <row r="35" customFormat="false" ht="16.4" hidden="false" customHeight="false" outlineLevel="0" collapsed="false">
      <c r="A35" s="1" t="n">
        <v>6068</v>
      </c>
      <c r="B35" s="0" t="s">
        <v>47</v>
      </c>
      <c r="C35" s="0" t="s">
        <v>62</v>
      </c>
      <c r="D35" s="1" t="s">
        <v>53</v>
      </c>
      <c r="E35" s="0" t="s">
        <v>54</v>
      </c>
      <c r="F35" s="1" t="n">
        <v>5.4</v>
      </c>
      <c r="G35" s="1" t="n">
        <v>5.4</v>
      </c>
      <c r="H35" s="1" t="n">
        <f aca="false">-((G35*100/F35)-100)</f>
        <v>-0</v>
      </c>
      <c r="I35" s="1" t="n">
        <v>730</v>
      </c>
      <c r="J35" s="1" t="n">
        <f aca="false">(F35-G35)*I35</f>
        <v>0</v>
      </c>
      <c r="K35" s="1" t="n">
        <f aca="false">G35*I35</f>
        <v>3942</v>
      </c>
      <c r="M35" s="10" t="n">
        <v>10261</v>
      </c>
      <c r="N35" s="3" t="s">
        <v>4</v>
      </c>
      <c r="O35" s="10" t="n">
        <v>10261</v>
      </c>
      <c r="P35" s="0" t="s">
        <v>26</v>
      </c>
      <c r="R35" s="10" t="n">
        <f aca="false">(O35-L35)/G35</f>
        <v>1900.18518518519</v>
      </c>
    </row>
    <row r="36" customFormat="false" ht="15" hidden="false" customHeight="false" outlineLevel="0" collapsed="false">
      <c r="G36" s="1"/>
      <c r="I36" s="1"/>
      <c r="M36" s="25"/>
    </row>
    <row r="37" customFormat="false" ht="16.4" hidden="false" customHeight="false" outlineLevel="0" collapsed="false">
      <c r="A37" s="1" t="n">
        <v>6064</v>
      </c>
      <c r="B37" s="0" t="s">
        <v>63</v>
      </c>
      <c r="C37" s="0" t="s">
        <v>59</v>
      </c>
      <c r="D37" s="1" t="s">
        <v>53</v>
      </c>
      <c r="E37" s="0" t="s">
        <v>64</v>
      </c>
      <c r="F37" s="1" t="n">
        <v>8.31</v>
      </c>
      <c r="G37" s="1" t="n">
        <v>8.31</v>
      </c>
      <c r="H37" s="1" t="n">
        <f aca="false">-((G37*100/F37)-100)</f>
        <v>-0</v>
      </c>
      <c r="I37" s="1" t="n">
        <v>730</v>
      </c>
      <c r="J37" s="1" t="n">
        <f aca="false">(F37-G37)*I37</f>
        <v>0</v>
      </c>
      <c r="K37" s="1" t="n">
        <f aca="false">G37*I37</f>
        <v>6066.3</v>
      </c>
      <c r="M37" s="10" t="n">
        <v>16213</v>
      </c>
      <c r="N37" s="3" t="s">
        <v>4</v>
      </c>
      <c r="O37" s="10" t="n">
        <v>16213</v>
      </c>
      <c r="P37" s="0" t="s">
        <v>26</v>
      </c>
      <c r="R37" s="10" t="n">
        <f aca="false">(O37-L37)/G37</f>
        <v>1951.02286401925</v>
      </c>
    </row>
    <row r="38" customFormat="false" ht="16.4" hidden="false" customHeight="false" outlineLevel="0" collapsed="false">
      <c r="A38" s="1" t="n">
        <v>6064</v>
      </c>
      <c r="B38" s="0" t="s">
        <v>63</v>
      </c>
      <c r="C38" s="0" t="s">
        <v>65</v>
      </c>
      <c r="D38" s="1" t="s">
        <v>53</v>
      </c>
      <c r="E38" s="0" t="s">
        <v>64</v>
      </c>
      <c r="F38" s="1" t="n">
        <v>2.15</v>
      </c>
      <c r="G38" s="1" t="n">
        <v>2.15</v>
      </c>
      <c r="H38" s="1" t="n">
        <f aca="false">-((G38*100/F38)-100)</f>
        <v>-0</v>
      </c>
      <c r="I38" s="1" t="n">
        <v>730</v>
      </c>
      <c r="J38" s="1" t="n">
        <f aca="false">(F38-G38)*I38</f>
        <v>0</v>
      </c>
      <c r="K38" s="1" t="n">
        <f aca="false">G38*I38</f>
        <v>1569.5</v>
      </c>
      <c r="M38" s="10" t="n">
        <v>3643</v>
      </c>
      <c r="N38" s="3" t="s">
        <v>4</v>
      </c>
      <c r="O38" s="10" t="n">
        <v>3643</v>
      </c>
      <c r="P38" s="0" t="s">
        <v>26</v>
      </c>
      <c r="R38" s="10" t="n">
        <f aca="false">(O38-L38)/G38</f>
        <v>1694.41860465116</v>
      </c>
    </row>
    <row r="39" customFormat="false" ht="15" hidden="false" customHeight="false" outlineLevel="0" collapsed="false">
      <c r="G39" s="1"/>
      <c r="I39" s="1"/>
      <c r="M39" s="25"/>
    </row>
    <row r="40" customFormat="false" ht="16.4" hidden="false" customHeight="false" outlineLevel="0" collapsed="false">
      <c r="A40" s="1" t="n">
        <v>6078</v>
      </c>
      <c r="B40" s="0" t="s">
        <v>66</v>
      </c>
      <c r="C40" s="0" t="s">
        <v>67</v>
      </c>
      <c r="D40" s="1" t="s">
        <v>53</v>
      </c>
      <c r="E40" s="0" t="s">
        <v>68</v>
      </c>
      <c r="F40" s="1" t="n">
        <v>3.74</v>
      </c>
      <c r="G40" s="1" t="n">
        <v>3.74</v>
      </c>
      <c r="H40" s="1" t="n">
        <f aca="false">-((G40*100/F40)-100)</f>
        <v>-0</v>
      </c>
      <c r="I40" s="1" t="n">
        <v>530</v>
      </c>
      <c r="J40" s="1" t="n">
        <f aca="false">(F40-G40)*I40</f>
        <v>0</v>
      </c>
      <c r="K40" s="1" t="n">
        <f aca="false">G40*I40</f>
        <v>1982.2</v>
      </c>
      <c r="M40" s="10" t="n">
        <v>6000</v>
      </c>
      <c r="N40" s="3" t="s">
        <v>4</v>
      </c>
      <c r="O40" s="10" t="n">
        <v>6000</v>
      </c>
      <c r="P40" s="0" t="s">
        <v>29</v>
      </c>
      <c r="R40" s="10" t="n">
        <f aca="false">(O40-L40)/G40</f>
        <v>1604.27807486631</v>
      </c>
    </row>
    <row r="41" customFormat="false" ht="15" hidden="false" customHeight="false" outlineLevel="0" collapsed="false">
      <c r="G41" s="1"/>
      <c r="I41" s="1"/>
    </row>
    <row r="42" customFormat="false" ht="16.4" hidden="false" customHeight="false" outlineLevel="0" collapsed="false">
      <c r="A42" s="1" t="n">
        <v>6077</v>
      </c>
      <c r="B42" s="0" t="s">
        <v>69</v>
      </c>
      <c r="C42" s="0" t="s">
        <v>70</v>
      </c>
      <c r="D42" s="1" t="s">
        <v>24</v>
      </c>
      <c r="E42" s="0" t="s">
        <v>71</v>
      </c>
      <c r="F42" s="1" t="n">
        <v>2.1</v>
      </c>
      <c r="G42" s="1" t="n">
        <v>2.1</v>
      </c>
      <c r="H42" s="1" t="n">
        <f aca="false">-((G42*100/F42)-100)</f>
        <v>-0</v>
      </c>
      <c r="I42" s="24" t="n">
        <v>271</v>
      </c>
      <c r="J42" s="1" t="n">
        <f aca="false">(F42-G42)*I42</f>
        <v>0</v>
      </c>
      <c r="K42" s="1" t="n">
        <f aca="false">G42*I42</f>
        <v>569.1</v>
      </c>
      <c r="M42" s="10" t="n">
        <v>2389</v>
      </c>
      <c r="N42" s="3" t="s">
        <v>4</v>
      </c>
      <c r="O42" s="10" t="n">
        <v>2389</v>
      </c>
      <c r="P42" s="0" t="s">
        <v>26</v>
      </c>
      <c r="R42" s="10" t="n">
        <f aca="false">(O42-L42)/G42</f>
        <v>1137.61904761905</v>
      </c>
    </row>
    <row r="43" customFormat="false" ht="16.4" hidden="false" customHeight="false" outlineLevel="0" collapsed="false">
      <c r="A43" s="1" t="n">
        <v>6077</v>
      </c>
      <c r="B43" s="0" t="s">
        <v>69</v>
      </c>
      <c r="C43" s="0" t="s">
        <v>72</v>
      </c>
      <c r="D43" s="1" t="s">
        <v>53</v>
      </c>
      <c r="E43" s="0" t="s">
        <v>73</v>
      </c>
      <c r="F43" s="1" t="n">
        <v>2.52</v>
      </c>
      <c r="G43" s="1" t="n">
        <v>2.52</v>
      </c>
      <c r="H43" s="1" t="n">
        <f aca="false">-((G43*100/F43)-100)</f>
        <v>-0</v>
      </c>
      <c r="I43" s="1" t="n">
        <v>900</v>
      </c>
      <c r="J43" s="1" t="n">
        <f aca="false">(F43-G43)*I43</f>
        <v>0</v>
      </c>
      <c r="K43" s="1" t="n">
        <f aca="false">G43*I43</f>
        <v>2268</v>
      </c>
      <c r="M43" s="10" t="n">
        <v>4751</v>
      </c>
      <c r="N43" s="3" t="s">
        <v>4</v>
      </c>
      <c r="O43" s="10" t="n">
        <v>4751</v>
      </c>
      <c r="P43" s="0" t="s">
        <v>26</v>
      </c>
      <c r="R43" s="10" t="n">
        <f aca="false">(O43-L43)/G43</f>
        <v>1885.31746031746</v>
      </c>
    </row>
    <row r="44" customFormat="false" ht="16.4" hidden="false" customHeight="false" outlineLevel="0" collapsed="false">
      <c r="A44" s="1" t="n">
        <v>6077</v>
      </c>
      <c r="B44" s="0" t="s">
        <v>69</v>
      </c>
      <c r="C44" s="0" t="s">
        <v>55</v>
      </c>
      <c r="D44" s="1" t="s">
        <v>53</v>
      </c>
      <c r="E44" s="0" t="s">
        <v>73</v>
      </c>
      <c r="F44" s="1" t="n">
        <v>8.92</v>
      </c>
      <c r="G44" s="1" t="n">
        <v>8.92</v>
      </c>
      <c r="H44" s="1" t="n">
        <f aca="false">-((G44*100/F44)-100)</f>
        <v>-0</v>
      </c>
      <c r="I44" s="1" t="n">
        <v>900</v>
      </c>
      <c r="J44" s="1" t="n">
        <f aca="false">(F44-G44)*I44</f>
        <v>0</v>
      </c>
      <c r="K44" s="1" t="n">
        <f aca="false">G44*I44</f>
        <v>8028</v>
      </c>
      <c r="M44" s="10" t="n">
        <v>17107</v>
      </c>
      <c r="N44" s="3" t="s">
        <v>4</v>
      </c>
      <c r="O44" s="10" t="n">
        <v>17107</v>
      </c>
      <c r="P44" s="0" t="s">
        <v>29</v>
      </c>
      <c r="R44" s="10" t="n">
        <f aca="false">(O44-L44)/G44</f>
        <v>1917.82511210762</v>
      </c>
    </row>
    <row r="45" customFormat="false" ht="16.4" hidden="false" customHeight="false" outlineLevel="0" collapsed="false">
      <c r="A45" s="1" t="n">
        <v>6077</v>
      </c>
      <c r="B45" s="0" t="s">
        <v>69</v>
      </c>
      <c r="C45" s="0" t="s">
        <v>56</v>
      </c>
      <c r="D45" s="1" t="s">
        <v>53</v>
      </c>
      <c r="E45" s="0" t="s">
        <v>74</v>
      </c>
      <c r="F45" s="1" t="n">
        <v>1.52</v>
      </c>
      <c r="G45" s="1" t="n">
        <v>1.52</v>
      </c>
      <c r="H45" s="1" t="n">
        <f aca="false">-((G45*100/F45)-100)</f>
        <v>-0</v>
      </c>
      <c r="I45" s="1" t="n">
        <v>700</v>
      </c>
      <c r="J45" s="1" t="n">
        <f aca="false">(F45-G45)*I45</f>
        <v>0</v>
      </c>
      <c r="K45" s="1" t="n">
        <f aca="false">G45*I45</f>
        <v>1064</v>
      </c>
      <c r="M45" s="10" t="n">
        <v>2389</v>
      </c>
      <c r="N45" s="3" t="s">
        <v>4</v>
      </c>
      <c r="O45" s="10" t="n">
        <v>2389</v>
      </c>
      <c r="P45" s="0" t="s">
        <v>29</v>
      </c>
      <c r="R45" s="10" t="n">
        <f aca="false">(O45-L45)/G45</f>
        <v>1571.71052631579</v>
      </c>
    </row>
    <row r="46" customFormat="false" ht="16.4" hidden="false" customHeight="false" outlineLevel="0" collapsed="false">
      <c r="A46" s="1" t="n">
        <v>6077</v>
      </c>
      <c r="B46" s="0" t="s">
        <v>69</v>
      </c>
      <c r="C46" s="0" t="s">
        <v>75</v>
      </c>
      <c r="D46" s="1" t="s">
        <v>53</v>
      </c>
      <c r="E46" s="0" t="s">
        <v>74</v>
      </c>
      <c r="F46" s="1" t="n">
        <v>1.02</v>
      </c>
      <c r="G46" s="1" t="n">
        <v>1.02</v>
      </c>
      <c r="H46" s="1" t="n">
        <f aca="false">-((G46*100/F46)-100)</f>
        <v>-0</v>
      </c>
      <c r="I46" s="1" t="n">
        <v>700</v>
      </c>
      <c r="J46" s="1" t="n">
        <f aca="false">(F46-G46)*I46</f>
        <v>0</v>
      </c>
      <c r="K46" s="1" t="n">
        <f aca="false">G46*I46</f>
        <v>714</v>
      </c>
      <c r="M46" s="10" t="n">
        <v>1603</v>
      </c>
      <c r="N46" s="3" t="s">
        <v>4</v>
      </c>
      <c r="O46" s="10" t="n">
        <v>1603</v>
      </c>
      <c r="P46" s="0" t="s">
        <v>29</v>
      </c>
      <c r="R46" s="10" t="n">
        <f aca="false">(O46-L46)/G46</f>
        <v>1571.56862745098</v>
      </c>
    </row>
    <row r="48" customFormat="false" ht="16.4" hidden="false" customHeight="false" outlineLevel="0" collapsed="false">
      <c r="A48" s="1" t="n">
        <v>6084</v>
      </c>
      <c r="B48" s="0" t="s">
        <v>76</v>
      </c>
      <c r="C48" s="0" t="s">
        <v>51</v>
      </c>
      <c r="D48" s="0" t="s">
        <v>53</v>
      </c>
      <c r="E48" s="0" t="s">
        <v>68</v>
      </c>
      <c r="F48" s="1" t="n">
        <v>1.5</v>
      </c>
      <c r="G48" s="1" t="n">
        <v>1.5</v>
      </c>
      <c r="H48" s="1" t="n">
        <f aca="false">-((G48*100/F48)-100)</f>
        <v>-0</v>
      </c>
      <c r="I48" s="1" t="n">
        <v>530</v>
      </c>
      <c r="J48" s="1" t="n">
        <f aca="false">(F48-G48)*I48</f>
        <v>0</v>
      </c>
      <c r="K48" s="1" t="n">
        <f aca="false">G48*I48</f>
        <v>795</v>
      </c>
      <c r="M48" s="23" t="n">
        <v>2731</v>
      </c>
      <c r="N48" s="3" t="s">
        <v>4</v>
      </c>
      <c r="O48" s="23" t="n">
        <v>2731</v>
      </c>
      <c r="P48" s="0" t="s">
        <v>29</v>
      </c>
      <c r="R48" s="10" t="n">
        <f aca="false">(O48-L48)/G48</f>
        <v>1820.66666666667</v>
      </c>
    </row>
    <row r="49" customFormat="false" ht="16.4" hidden="false" customHeight="false" outlineLevel="0" collapsed="false">
      <c r="A49" s="1" t="n">
        <v>6084</v>
      </c>
      <c r="B49" s="0" t="s">
        <v>76</v>
      </c>
      <c r="C49" s="0" t="s">
        <v>42</v>
      </c>
      <c r="D49" s="0" t="s">
        <v>24</v>
      </c>
      <c r="E49" s="0" t="s">
        <v>35</v>
      </c>
      <c r="F49" s="1" t="n">
        <v>4.17</v>
      </c>
      <c r="G49" s="0" t="n">
        <v>4.02</v>
      </c>
      <c r="H49" s="1" t="n">
        <f aca="false">-((G49*100/F49)-100)</f>
        <v>3.59712230215828</v>
      </c>
      <c r="I49" s="1" t="n">
        <v>239</v>
      </c>
      <c r="J49" s="1" t="n">
        <f aca="false">(F49-G49)*I49</f>
        <v>35.8500000000001</v>
      </c>
      <c r="K49" s="1" t="n">
        <f aca="false">G49*I49</f>
        <v>960.78</v>
      </c>
      <c r="M49" s="23" t="n">
        <v>5095</v>
      </c>
      <c r="N49" s="3" t="s">
        <v>4</v>
      </c>
      <c r="O49" s="23" t="n">
        <v>5095</v>
      </c>
      <c r="P49" s="0" t="s">
        <v>26</v>
      </c>
      <c r="R49" s="10" t="n">
        <f aca="false">(O49-L49)/G49</f>
        <v>1267.41293532338</v>
      </c>
    </row>
    <row r="50" customFormat="false" ht="16.4" hidden="false" customHeight="false" outlineLevel="0" collapsed="false">
      <c r="A50" s="1" t="n">
        <v>6084</v>
      </c>
      <c r="B50" s="0" t="s">
        <v>76</v>
      </c>
      <c r="C50" s="0" t="s">
        <v>56</v>
      </c>
      <c r="D50" s="0" t="s">
        <v>37</v>
      </c>
      <c r="E50" s="0" t="s">
        <v>52</v>
      </c>
      <c r="F50" s="1" t="n">
        <v>1.81</v>
      </c>
      <c r="G50" s="0" t="n">
        <v>1.81</v>
      </c>
      <c r="H50" s="1" t="n">
        <f aca="false">-((G50*100/F50)-100)</f>
        <v>-0</v>
      </c>
      <c r="I50" s="1" t="n">
        <v>529</v>
      </c>
      <c r="J50" s="1" t="n">
        <f aca="false">(F50-G50)*I50</f>
        <v>0</v>
      </c>
      <c r="K50" s="1" t="n">
        <f aca="false">G50*I50</f>
        <v>957.49</v>
      </c>
      <c r="M50" s="23" t="n">
        <v>2886</v>
      </c>
      <c r="N50" s="3" t="s">
        <v>4</v>
      </c>
      <c r="O50" s="23" t="n">
        <v>2886</v>
      </c>
      <c r="P50" s="0" t="s">
        <v>31</v>
      </c>
      <c r="R50" s="10" t="n">
        <f aca="false">(O50-L50)/G50</f>
        <v>1594.47513812155</v>
      </c>
    </row>
    <row r="51" customFormat="false" ht="16.4" hidden="false" customHeight="false" outlineLevel="0" collapsed="false">
      <c r="A51" s="1" t="n">
        <v>6084</v>
      </c>
      <c r="B51" s="0" t="s">
        <v>76</v>
      </c>
      <c r="C51" s="0" t="s">
        <v>57</v>
      </c>
      <c r="D51" s="0" t="s">
        <v>37</v>
      </c>
      <c r="E51" s="0" t="s">
        <v>52</v>
      </c>
      <c r="F51" s="1" t="n">
        <v>0.54</v>
      </c>
      <c r="G51" s="0" t="n">
        <v>0.54</v>
      </c>
      <c r="H51" s="1" t="n">
        <f aca="false">-((G51*100/F51)-100)</f>
        <v>-0</v>
      </c>
      <c r="I51" s="1" t="n">
        <v>529</v>
      </c>
      <c r="J51" s="1" t="n">
        <f aca="false">(F51-G51)*I51</f>
        <v>0</v>
      </c>
      <c r="K51" s="1" t="n">
        <f aca="false">G51*I51</f>
        <v>285.66</v>
      </c>
      <c r="M51" s="23" t="n">
        <v>860</v>
      </c>
      <c r="N51" s="3" t="s">
        <v>4</v>
      </c>
      <c r="O51" s="23" t="n">
        <v>860</v>
      </c>
      <c r="P51" s="0" t="s">
        <v>31</v>
      </c>
      <c r="R51" s="10" t="n">
        <f aca="false">(O51-L51)/G51</f>
        <v>1592.59259259259</v>
      </c>
    </row>
    <row r="52" customFormat="false" ht="15" hidden="false" customHeight="false" outlineLevel="0" collapsed="false">
      <c r="A52" s="1"/>
      <c r="F52" s="1"/>
      <c r="H52" s="1"/>
      <c r="I52" s="1"/>
      <c r="J52" s="1"/>
      <c r="K52" s="1"/>
      <c r="M52" s="23"/>
      <c r="N52" s="3"/>
      <c r="O52" s="23"/>
      <c r="R52" s="10"/>
    </row>
    <row r="53" customFormat="false" ht="16.4" hidden="false" customHeight="false" outlineLevel="0" collapsed="false">
      <c r="A53" s="1" t="n">
        <v>6089</v>
      </c>
      <c r="B53" s="0" t="s">
        <v>77</v>
      </c>
      <c r="C53" s="0" t="s">
        <v>78</v>
      </c>
      <c r="D53" s="1" t="s">
        <v>24</v>
      </c>
      <c r="E53" s="0" t="s">
        <v>79</v>
      </c>
      <c r="F53" s="1" t="n">
        <v>7.58</v>
      </c>
      <c r="G53" s="0" t="n">
        <v>7.51</v>
      </c>
      <c r="H53" s="1" t="n">
        <f aca="false">-((G53*100/F53)-100)</f>
        <v>0.923482849604227</v>
      </c>
      <c r="I53" s="1" t="n">
        <v>224</v>
      </c>
      <c r="J53" s="1" t="n">
        <f aca="false">(F53-G53)*I53</f>
        <v>15.6800000000001</v>
      </c>
      <c r="K53" s="1" t="n">
        <f aca="false">G53*I53</f>
        <v>1682.24</v>
      </c>
      <c r="M53" s="23" t="n">
        <v>5800</v>
      </c>
      <c r="N53" s="3" t="s">
        <v>4</v>
      </c>
      <c r="O53" s="23" t="n">
        <v>5800</v>
      </c>
      <c r="P53" s="0" t="s">
        <v>31</v>
      </c>
      <c r="R53" s="10" t="n">
        <f aca="false">(O53-L53)/G53</f>
        <v>772.303595206392</v>
      </c>
    </row>
    <row r="54" customFormat="false" ht="15" hidden="false" customHeight="false" outlineLevel="0" collapsed="false">
      <c r="A54" s="1"/>
      <c r="D54" s="1"/>
      <c r="F54" s="1"/>
      <c r="H54" s="1"/>
      <c r="J54" s="1"/>
      <c r="K54" s="1"/>
      <c r="M54" s="23"/>
      <c r="N54" s="26"/>
      <c r="O54" s="23"/>
      <c r="R54" s="10"/>
    </row>
    <row r="55" customFormat="false" ht="16.4" hidden="false" customHeight="false" outlineLevel="0" collapsed="false">
      <c r="A55" s="1" t="n">
        <v>6079</v>
      </c>
      <c r="B55" s="0" t="s">
        <v>80</v>
      </c>
      <c r="C55" s="0" t="s">
        <v>81</v>
      </c>
      <c r="D55" s="1" t="s">
        <v>24</v>
      </c>
      <c r="E55" s="0" t="s">
        <v>79</v>
      </c>
      <c r="F55" s="1" t="n">
        <v>0.1</v>
      </c>
      <c r="G55" s="1" t="n">
        <v>0.1</v>
      </c>
      <c r="H55" s="1" t="n">
        <f aca="false">-((G55*100/F55)-100)</f>
        <v>-0</v>
      </c>
      <c r="I55" s="1" t="n">
        <v>224</v>
      </c>
      <c r="J55" s="1" t="n">
        <f aca="false">(F55-G55)*I55</f>
        <v>0</v>
      </c>
      <c r="K55" s="1" t="n">
        <f aca="false">G55*I55</f>
        <v>22.4</v>
      </c>
      <c r="M55" s="23" t="n">
        <v>129</v>
      </c>
      <c r="N55" s="3" t="s">
        <v>4</v>
      </c>
      <c r="O55" s="23" t="n">
        <v>129</v>
      </c>
      <c r="P55" s="0" t="s">
        <v>31</v>
      </c>
      <c r="R55" s="10" t="n">
        <f aca="false">(O55-L55)/G55</f>
        <v>1290</v>
      </c>
    </row>
    <row r="56" customFormat="false" ht="15" hidden="false" customHeight="false" outlineLevel="0" collapsed="false">
      <c r="A56" s="1"/>
      <c r="D56" s="1"/>
      <c r="F56" s="1"/>
      <c r="G56" s="1"/>
      <c r="H56" s="1"/>
      <c r="I56" s="1"/>
      <c r="J56" s="1"/>
      <c r="K56" s="1"/>
      <c r="M56" s="23"/>
      <c r="N56" s="3"/>
      <c r="O56" s="23"/>
      <c r="R56" s="10"/>
    </row>
    <row r="57" customFormat="false" ht="16.4" hidden="false" customHeight="false" outlineLevel="0" collapsed="false">
      <c r="A57" s="1" t="n">
        <v>6063</v>
      </c>
      <c r="B57" s="0" t="s">
        <v>82</v>
      </c>
      <c r="C57" s="0" t="s">
        <v>42</v>
      </c>
      <c r="D57" s="1" t="s">
        <v>24</v>
      </c>
      <c r="E57" s="0" t="s">
        <v>83</v>
      </c>
      <c r="F57" s="1" t="n">
        <v>2.86</v>
      </c>
      <c r="G57" s="1" t="n">
        <v>2.86</v>
      </c>
      <c r="H57" s="1" t="n">
        <f aca="false">-((G57*100/F57)-100)</f>
        <v>-0</v>
      </c>
      <c r="I57" s="1" t="n">
        <v>229</v>
      </c>
      <c r="J57" s="1" t="n">
        <f aca="false">(F57-G57)*I57</f>
        <v>0</v>
      </c>
      <c r="K57" s="1" t="n">
        <f aca="false">G57*I57</f>
        <v>654.94</v>
      </c>
      <c r="L57" s="10"/>
      <c r="M57" s="10" t="n">
        <v>3390</v>
      </c>
      <c r="N57" s="3" t="s">
        <v>4</v>
      </c>
      <c r="O57" s="10" t="n">
        <v>3390</v>
      </c>
      <c r="P57" s="0" t="s">
        <v>29</v>
      </c>
      <c r="R57" s="10" t="n">
        <f aca="false">(O57-L57)/G57</f>
        <v>1185.31468531469</v>
      </c>
    </row>
    <row r="58" customFormat="false" ht="15" hidden="false" customHeight="false" outlineLevel="0" collapsed="false">
      <c r="A58" s="1"/>
      <c r="D58" s="1"/>
      <c r="F58" s="1"/>
      <c r="G58" s="1"/>
      <c r="H58" s="1"/>
      <c r="I58" s="1"/>
      <c r="J58" s="1"/>
      <c r="K58" s="1"/>
      <c r="M58" s="23"/>
      <c r="N58" s="3"/>
      <c r="O58" s="23"/>
      <c r="R58" s="10"/>
    </row>
    <row r="59" customFormat="false" ht="16.4" hidden="false" customHeight="false" outlineLevel="0" collapsed="false">
      <c r="A59" s="1" t="n">
        <v>6077</v>
      </c>
      <c r="B59" s="0" t="s">
        <v>69</v>
      </c>
      <c r="C59" s="0" t="s">
        <v>59</v>
      </c>
      <c r="D59" s="1" t="s">
        <v>53</v>
      </c>
      <c r="E59" s="0" t="s">
        <v>73</v>
      </c>
      <c r="F59" s="1" t="n">
        <v>2.36</v>
      </c>
      <c r="G59" s="1" t="n">
        <v>2.36</v>
      </c>
      <c r="H59" s="1" t="n">
        <f aca="false">-((G59*100/F59)-100)</f>
        <v>-0</v>
      </c>
      <c r="I59" s="1" t="n">
        <v>900</v>
      </c>
      <c r="J59" s="1" t="n">
        <f aca="false">(F59-G59)*I59</f>
        <v>0</v>
      </c>
      <c r="K59" s="1" t="n">
        <f aca="false">G59*I59</f>
        <v>2124</v>
      </c>
      <c r="M59" s="10" t="n">
        <v>4537</v>
      </c>
      <c r="N59" s="3" t="s">
        <v>4</v>
      </c>
      <c r="O59" s="10" t="n">
        <v>4537</v>
      </c>
      <c r="P59" s="0" t="s">
        <v>29</v>
      </c>
      <c r="R59" s="10" t="n">
        <f aca="false">(O59-L59)/G59</f>
        <v>1922.45762711864</v>
      </c>
    </row>
    <row r="60" customFormat="false" ht="15" hidden="false" customHeight="false" outlineLevel="0" collapsed="false">
      <c r="A60" s="1"/>
      <c r="D60" s="1"/>
      <c r="G60" s="1"/>
      <c r="H60" s="1"/>
      <c r="I60" s="1"/>
      <c r="J60" s="1"/>
      <c r="K60" s="1"/>
      <c r="M60" s="23"/>
      <c r="N60" s="1"/>
      <c r="O60" s="23"/>
      <c r="R60" s="10"/>
    </row>
    <row r="61" s="28" customFormat="true" ht="15" hidden="false" customHeight="false" outlineLevel="0" collapsed="false">
      <c r="A61" s="27"/>
      <c r="D61" s="27"/>
      <c r="F61" s="27" t="n">
        <f aca="false">SUM(F4:F60)</f>
        <v>108.27</v>
      </c>
      <c r="G61" s="27" t="n">
        <f aca="false">SUM(G4:G60)</f>
        <v>103.03</v>
      </c>
      <c r="H61" s="27"/>
      <c r="I61" s="27"/>
      <c r="J61" s="27" t="n">
        <f aca="false">SUM(J4:J60)</f>
        <v>38.0900000000001</v>
      </c>
      <c r="K61" s="27" t="n">
        <f aca="false">SUM(K4:K60)</f>
        <v>58694.78</v>
      </c>
      <c r="M61" s="29" t="n">
        <f aca="false">SUM(M4:M60)</f>
        <v>167511</v>
      </c>
      <c r="N61" s="27"/>
      <c r="O61" s="29"/>
      <c r="R61" s="29"/>
    </row>
    <row r="62" customFormat="false" ht="15" hidden="false" customHeight="false" outlineLevel="0" collapsed="false">
      <c r="A62" s="1"/>
      <c r="D62" s="1"/>
      <c r="F62" s="1"/>
      <c r="G62" s="1"/>
      <c r="H62" s="1"/>
      <c r="I62" s="1"/>
      <c r="J62" s="1"/>
      <c r="K62" s="1"/>
      <c r="M62" s="10"/>
      <c r="N62" s="1"/>
      <c r="O62" s="10"/>
      <c r="R62" s="10"/>
    </row>
    <row r="63" customFormat="false" ht="15" hidden="false" customHeight="false" outlineLevel="0" collapsed="false">
      <c r="A63" s="1"/>
      <c r="D63" s="1"/>
      <c r="H63" s="1"/>
      <c r="I63" s="1"/>
      <c r="J63" s="1"/>
      <c r="K63" s="1"/>
      <c r="M63" s="23"/>
      <c r="N63" s="1"/>
      <c r="O63" s="23"/>
      <c r="R63" s="10"/>
    </row>
    <row r="64" customFormat="false" ht="15" hidden="false" customHeight="false" outlineLevel="0" collapsed="false">
      <c r="A64" s="1"/>
      <c r="D64" s="1"/>
      <c r="H64" s="1"/>
      <c r="I64" s="1"/>
      <c r="J64" s="1"/>
      <c r="K64" s="1"/>
      <c r="M64" s="23"/>
      <c r="N64" s="1"/>
      <c r="O64" s="23"/>
      <c r="R64" s="10"/>
    </row>
    <row r="65" customFormat="false" ht="15" hidden="false" customHeight="false" outlineLevel="0" collapsed="false">
      <c r="A65" s="1"/>
      <c r="D65" s="1"/>
      <c r="H65" s="1"/>
      <c r="I65" s="1"/>
      <c r="J65" s="1"/>
      <c r="K65" s="1"/>
      <c r="M65" s="23"/>
      <c r="N65" s="1"/>
      <c r="O65" s="23"/>
      <c r="R65" s="10"/>
    </row>
    <row r="66" customFormat="false" ht="15" hidden="false" customHeight="false" outlineLevel="0" collapsed="false">
      <c r="A66" s="1"/>
      <c r="D66" s="1"/>
      <c r="F66" s="1"/>
      <c r="G66" s="1"/>
      <c r="H66" s="1"/>
      <c r="I66" s="1"/>
      <c r="J66" s="1"/>
      <c r="K66" s="1"/>
      <c r="M66" s="10"/>
      <c r="N66" s="1"/>
      <c r="O66" s="10"/>
      <c r="R66" s="10"/>
    </row>
    <row r="67" customFormat="false" ht="15" hidden="false" customHeight="false" outlineLevel="0" collapsed="false">
      <c r="A67" s="1"/>
      <c r="D67" s="1"/>
      <c r="H67" s="1"/>
      <c r="I67" s="1"/>
      <c r="J67" s="1"/>
      <c r="K67" s="1"/>
      <c r="M67" s="23"/>
      <c r="N67" s="1"/>
      <c r="O67" s="23"/>
      <c r="R67" s="10"/>
    </row>
    <row r="68" customFormat="false" ht="15" hidden="false" customHeight="false" outlineLevel="0" collapsed="false">
      <c r="A68" s="1"/>
      <c r="H68" s="1"/>
      <c r="I68" s="1"/>
      <c r="J68" s="1"/>
      <c r="K68" s="1"/>
      <c r="M68" s="23"/>
      <c r="N68" s="1"/>
      <c r="O68" s="23"/>
      <c r="R68" s="10"/>
    </row>
    <row r="69" customFormat="false" ht="15" hidden="false" customHeight="false" outlineLevel="0" collapsed="false">
      <c r="A69" s="1"/>
      <c r="D69" s="1"/>
      <c r="F69" s="1"/>
      <c r="G69" s="1"/>
      <c r="H69" s="1"/>
      <c r="I69" s="1"/>
      <c r="J69" s="1"/>
      <c r="K69" s="1"/>
      <c r="M69" s="10"/>
      <c r="N69" s="1"/>
      <c r="O69" s="10"/>
      <c r="R69" s="10"/>
    </row>
    <row r="70" customFormat="false" ht="15" hidden="false" customHeight="false" outlineLevel="0" collapsed="false">
      <c r="A70" s="1"/>
      <c r="D70" s="1"/>
      <c r="H70" s="1"/>
      <c r="J70" s="1"/>
      <c r="K70" s="1"/>
      <c r="M70" s="23"/>
      <c r="N70" s="1"/>
      <c r="O70" s="23"/>
      <c r="R70" s="10"/>
    </row>
    <row r="71" customFormat="false" ht="15" hidden="false" customHeight="false" outlineLevel="0" collapsed="false">
      <c r="A71" s="1"/>
      <c r="D71" s="1"/>
      <c r="H71" s="1"/>
      <c r="J71" s="1"/>
      <c r="K71" s="1"/>
      <c r="M71" s="23"/>
      <c r="N71" s="1"/>
      <c r="O71" s="23"/>
      <c r="R71" s="10"/>
    </row>
    <row r="72" customFormat="false" ht="15" hidden="false" customHeight="false" outlineLevel="0" collapsed="false">
      <c r="A72" s="1"/>
      <c r="D72" s="1"/>
      <c r="H72" s="1"/>
      <c r="J72" s="1"/>
      <c r="K72" s="1"/>
      <c r="M72" s="23"/>
      <c r="N72" s="1"/>
      <c r="O72" s="23"/>
      <c r="R72" s="10"/>
    </row>
    <row r="73" customFormat="false" ht="15" hidden="false" customHeight="false" outlineLevel="0" collapsed="false">
      <c r="A73" s="1"/>
      <c r="D73" s="1"/>
      <c r="G73" s="1"/>
      <c r="H73" s="1"/>
      <c r="I73" s="1"/>
      <c r="J73" s="1"/>
      <c r="K73" s="1"/>
      <c r="M73" s="23"/>
      <c r="N73" s="1"/>
      <c r="O73" s="23"/>
      <c r="R73" s="10"/>
    </row>
    <row r="74" customFormat="false" ht="15" hidden="false" customHeight="false" outlineLevel="0" collapsed="false">
      <c r="A74" s="1"/>
      <c r="D74" s="1"/>
      <c r="G74" s="1"/>
      <c r="H74" s="1"/>
      <c r="I74" s="1"/>
      <c r="J74" s="1"/>
      <c r="K74" s="1"/>
      <c r="M74" s="23"/>
      <c r="N74" s="1"/>
      <c r="O74" s="23"/>
      <c r="R74" s="10"/>
    </row>
    <row r="75" customFormat="false" ht="15" hidden="false" customHeight="false" outlineLevel="0" collapsed="false">
      <c r="A75" s="1"/>
      <c r="D75" s="1"/>
      <c r="H75" s="1"/>
      <c r="J75" s="1"/>
      <c r="K75" s="1"/>
      <c r="M75" s="23"/>
      <c r="N75" s="1"/>
      <c r="O75" s="23"/>
      <c r="R75" s="10"/>
    </row>
    <row r="77" customFormat="false" ht="15" hidden="false" customHeight="false" outlineLevel="0" collapsed="false">
      <c r="A77" s="1"/>
      <c r="D77" s="1"/>
      <c r="H77" s="1"/>
      <c r="J77" s="1"/>
      <c r="K77" s="1"/>
      <c r="M77" s="23"/>
      <c r="N77" s="1"/>
      <c r="O77" s="23"/>
      <c r="R77" s="10"/>
    </row>
    <row r="79" customFormat="false" ht="15" hidden="false" customHeight="false" outlineLevel="0" collapsed="false">
      <c r="A79" s="1"/>
      <c r="D79" s="1"/>
      <c r="F79" s="1"/>
      <c r="G79" s="1"/>
      <c r="H79" s="1"/>
      <c r="I79" s="1"/>
      <c r="J79" s="1"/>
      <c r="K79" s="1"/>
      <c r="M79" s="10"/>
      <c r="N79" s="1"/>
      <c r="O79" s="10"/>
      <c r="R79" s="10"/>
    </row>
    <row r="80" customFormat="false" ht="15" hidden="false" customHeight="false" outlineLevel="0" collapsed="false">
      <c r="A80" s="1"/>
      <c r="D80" s="1"/>
      <c r="F80" s="1"/>
      <c r="G80" s="1"/>
      <c r="H80" s="1"/>
      <c r="I80" s="1"/>
      <c r="J80" s="1"/>
      <c r="K80" s="1"/>
      <c r="M80" s="10"/>
      <c r="N80" s="1"/>
      <c r="O80" s="10"/>
      <c r="R80" s="10"/>
    </row>
    <row r="81" customFormat="false" ht="15" hidden="false" customHeight="false" outlineLevel="0" collapsed="false">
      <c r="A81" s="1"/>
      <c r="D81" s="1"/>
      <c r="F81" s="1"/>
      <c r="G81" s="1"/>
      <c r="H81" s="1"/>
      <c r="I81" s="1"/>
      <c r="J81" s="1"/>
      <c r="K81" s="1"/>
      <c r="M81" s="10"/>
      <c r="N81" s="1"/>
      <c r="O81" s="10"/>
      <c r="R81" s="10"/>
    </row>
    <row r="82" customFormat="false" ht="15" hidden="false" customHeight="false" outlineLevel="0" collapsed="false">
      <c r="A82" s="1"/>
      <c r="D82" s="1"/>
      <c r="F82" s="1"/>
      <c r="G82" s="1"/>
      <c r="H82" s="1"/>
      <c r="I82" s="1"/>
      <c r="J82" s="1"/>
      <c r="K82" s="1"/>
      <c r="M82" s="10"/>
      <c r="N82" s="1"/>
      <c r="O82" s="10"/>
      <c r="R82" s="10"/>
    </row>
    <row r="83" customFormat="false" ht="15" hidden="false" customHeight="false" outlineLevel="0" collapsed="false">
      <c r="A83" s="1"/>
      <c r="D83" s="1"/>
      <c r="H83" s="1"/>
      <c r="J83" s="1"/>
      <c r="K83" s="1"/>
      <c r="M83" s="23"/>
      <c r="N83" s="1"/>
      <c r="O83" s="23"/>
      <c r="R83" s="10"/>
    </row>
    <row r="84" customFormat="false" ht="15" hidden="false" customHeight="false" outlineLevel="0" collapsed="false">
      <c r="A84" s="1"/>
      <c r="D84" s="1"/>
      <c r="H84" s="1"/>
      <c r="I84" s="1"/>
      <c r="J84" s="1"/>
      <c r="K84" s="1"/>
      <c r="M84" s="23"/>
      <c r="N84" s="1"/>
      <c r="O84" s="23"/>
      <c r="R84" s="10"/>
    </row>
    <row r="85" customFormat="false" ht="15" hidden="false" customHeight="false" outlineLevel="0" collapsed="false">
      <c r="A85" s="1"/>
      <c r="D85" s="1"/>
      <c r="H85" s="1"/>
      <c r="I85" s="1"/>
      <c r="J85" s="1"/>
      <c r="K85" s="1"/>
      <c r="M85" s="23"/>
      <c r="N85" s="1"/>
      <c r="O85" s="23"/>
      <c r="R85" s="10"/>
    </row>
    <row r="86" customFormat="false" ht="15" hidden="false" customHeight="false" outlineLevel="0" collapsed="false">
      <c r="A86" s="1"/>
      <c r="D86" s="1"/>
      <c r="H86" s="1"/>
      <c r="J86" s="1"/>
      <c r="K86" s="1"/>
      <c r="M86" s="23"/>
      <c r="N86" s="1"/>
      <c r="O86" s="23"/>
      <c r="R86" s="10"/>
    </row>
    <row r="87" customFormat="false" ht="15" hidden="false" customHeight="false" outlineLevel="0" collapsed="false">
      <c r="A87" s="1"/>
      <c r="D87" s="1"/>
      <c r="H87" s="1"/>
      <c r="J87" s="1"/>
      <c r="K87" s="1"/>
      <c r="M87" s="23"/>
      <c r="N87" s="1"/>
      <c r="O87" s="23"/>
      <c r="R87" s="10"/>
    </row>
    <row r="88" customFormat="false" ht="15" hidden="false" customHeight="false" outlineLevel="0" collapsed="false">
      <c r="A88" s="1"/>
      <c r="D88" s="1"/>
      <c r="H88" s="1"/>
      <c r="J88" s="1"/>
      <c r="K88" s="1"/>
      <c r="M88" s="23"/>
      <c r="N88" s="1"/>
      <c r="O88" s="23"/>
      <c r="R88" s="10"/>
    </row>
    <row r="89" customFormat="false" ht="15" hidden="false" customHeight="false" outlineLevel="0" collapsed="false">
      <c r="A89" s="1"/>
      <c r="D89" s="1"/>
      <c r="H89" s="1"/>
      <c r="J89" s="1"/>
      <c r="K89" s="1"/>
      <c r="M89" s="23"/>
      <c r="N89" s="1"/>
      <c r="O89" s="23"/>
      <c r="R89" s="10"/>
    </row>
    <row r="90" customFormat="false" ht="15" hidden="false" customHeight="false" outlineLevel="0" collapsed="false">
      <c r="A90" s="1"/>
      <c r="D90" s="1"/>
      <c r="F90" s="1"/>
      <c r="G90" s="1"/>
      <c r="H90" s="1"/>
      <c r="I90" s="1"/>
      <c r="J90" s="1"/>
      <c r="K90" s="1"/>
      <c r="L90" s="10"/>
      <c r="M90" s="10"/>
      <c r="N90" s="1"/>
      <c r="O90" s="10"/>
      <c r="R90" s="10"/>
    </row>
    <row r="92" customFormat="false" ht="15" hidden="false" customHeight="false" outlineLevel="0" collapsed="false">
      <c r="G92" s="1"/>
      <c r="I92" s="1"/>
    </row>
    <row r="93" customFormat="false" ht="15" hidden="false" customHeight="false" outlineLevel="0" collapsed="false">
      <c r="A93" s="1"/>
      <c r="D93" s="1"/>
      <c r="F93" s="1"/>
      <c r="G93" s="1"/>
      <c r="H93" s="1"/>
      <c r="I93" s="1"/>
      <c r="J93" s="1"/>
      <c r="K93" s="1"/>
      <c r="L93" s="10"/>
      <c r="M93" s="10"/>
      <c r="N93" s="1"/>
      <c r="O93" s="10"/>
      <c r="R93" s="10"/>
    </row>
    <row r="94" customFormat="false" ht="15" hidden="false" customHeight="false" outlineLevel="0" collapsed="false">
      <c r="A94" s="1"/>
      <c r="D94" s="1"/>
      <c r="F94" s="1"/>
      <c r="G94" s="1"/>
      <c r="H94" s="1"/>
      <c r="I94" s="1"/>
      <c r="J94" s="1"/>
      <c r="K94" s="1"/>
      <c r="L94" s="10"/>
      <c r="M94" s="10"/>
      <c r="N94" s="1"/>
      <c r="O94" s="10"/>
      <c r="R94" s="10"/>
    </row>
    <row r="95" customFormat="false" ht="15" hidden="false" customHeight="false" outlineLevel="0" collapsed="false">
      <c r="A95" s="1"/>
      <c r="D95" s="1"/>
      <c r="F95" s="1"/>
      <c r="G95" s="1"/>
      <c r="H95" s="1"/>
      <c r="I95" s="1"/>
      <c r="J95" s="1"/>
      <c r="K95" s="1"/>
      <c r="L95" s="10"/>
      <c r="M95" s="10"/>
      <c r="N95" s="1"/>
      <c r="O95" s="10"/>
      <c r="R95" s="10"/>
    </row>
    <row r="96" customFormat="false" ht="15" hidden="false" customHeight="false" outlineLevel="0" collapsed="false">
      <c r="G96" s="1"/>
      <c r="I96" s="1"/>
    </row>
    <row r="97" customFormat="false" ht="15" hidden="false" customHeight="false" outlineLevel="0" collapsed="false">
      <c r="A97" s="1"/>
      <c r="D97" s="1"/>
      <c r="F97" s="1"/>
      <c r="G97" s="1"/>
      <c r="H97" s="1"/>
      <c r="I97" s="1"/>
      <c r="J97" s="1"/>
      <c r="K97" s="1"/>
      <c r="M97" s="10"/>
      <c r="N97" s="1"/>
      <c r="O97" s="10"/>
      <c r="R97" s="10"/>
    </row>
    <row r="98" customFormat="false" ht="15" hidden="false" customHeight="false" outlineLevel="0" collapsed="false">
      <c r="A98" s="1"/>
      <c r="D98" s="1"/>
      <c r="F98" s="1"/>
      <c r="G98" s="1"/>
      <c r="H98" s="1"/>
      <c r="I98" s="1"/>
      <c r="J98" s="1"/>
      <c r="K98" s="1"/>
      <c r="M98" s="10"/>
      <c r="N98" s="1"/>
      <c r="O98" s="10"/>
      <c r="R98" s="10"/>
    </row>
    <row r="99" customFormat="false" ht="15" hidden="false" customHeight="false" outlineLevel="0" collapsed="false">
      <c r="G99" s="1"/>
      <c r="I99" s="1"/>
    </row>
    <row r="100" customFormat="false" ht="15" hidden="false" customHeight="false" outlineLevel="0" collapsed="false">
      <c r="A100" s="1"/>
      <c r="D100" s="1"/>
      <c r="F100" s="1"/>
      <c r="G100" s="1"/>
      <c r="H100" s="1"/>
      <c r="I100" s="1"/>
      <c r="J100" s="1"/>
      <c r="K100" s="1"/>
      <c r="L100" s="10"/>
      <c r="M100" s="10"/>
      <c r="N100" s="1"/>
      <c r="O100" s="10"/>
      <c r="R100" s="10"/>
    </row>
    <row r="101" customFormat="false" ht="15" hidden="false" customHeight="false" outlineLevel="0" collapsed="false">
      <c r="I101" s="1"/>
    </row>
    <row r="102" customFormat="false" ht="15" hidden="false" customHeight="false" outlineLevel="0" collapsed="false">
      <c r="A102" s="1"/>
      <c r="D102" s="1"/>
      <c r="F102" s="1"/>
      <c r="G102" s="1"/>
      <c r="H102" s="1"/>
      <c r="I102" s="1"/>
      <c r="J102" s="1"/>
      <c r="K102" s="1"/>
      <c r="L102" s="10"/>
      <c r="M102" s="10"/>
      <c r="N102" s="1"/>
      <c r="O102" s="30"/>
      <c r="R102" s="10"/>
    </row>
    <row r="103" customFormat="false" ht="15" hidden="false" customHeight="false" outlineLevel="0" collapsed="false">
      <c r="A103" s="1"/>
      <c r="C103" s="31"/>
      <c r="D103" s="1"/>
      <c r="F103" s="1"/>
      <c r="G103" s="1"/>
      <c r="H103" s="1"/>
      <c r="I103" s="1"/>
      <c r="J103" s="1"/>
      <c r="K103" s="1"/>
      <c r="L103" s="10"/>
      <c r="M103" s="10"/>
      <c r="N103" s="1"/>
      <c r="O103" s="30"/>
      <c r="R103" s="10"/>
    </row>
    <row r="104" customFormat="false" ht="15" hidden="false" customHeight="false" outlineLevel="0" collapsed="false">
      <c r="G104" s="1"/>
      <c r="I104" s="1"/>
    </row>
    <row r="105" customFormat="false" ht="15" hidden="false" customHeight="false" outlineLevel="0" collapsed="false">
      <c r="A105" s="1"/>
      <c r="D105" s="1"/>
      <c r="G105" s="1"/>
      <c r="H105" s="1"/>
      <c r="I105" s="1"/>
      <c r="J105" s="1"/>
      <c r="K105" s="1"/>
      <c r="M105" s="23"/>
      <c r="N105" s="1"/>
      <c r="O105" s="23"/>
      <c r="R105" s="10"/>
    </row>
    <row r="106" customFormat="false" ht="15" hidden="false" customHeight="false" outlineLevel="0" collapsed="false">
      <c r="A106" s="1"/>
      <c r="D106" s="1"/>
      <c r="H106" s="1"/>
      <c r="I106" s="1"/>
      <c r="J106" s="1"/>
      <c r="K106" s="1"/>
      <c r="M106" s="23"/>
      <c r="N106" s="1"/>
      <c r="O106" s="23"/>
      <c r="R106" s="10"/>
    </row>
    <row r="107" customFormat="false" ht="15" hidden="false" customHeight="false" outlineLevel="0" collapsed="false">
      <c r="A107" s="1"/>
      <c r="D107" s="1"/>
      <c r="H107" s="1"/>
      <c r="I107" s="1"/>
      <c r="J107" s="1"/>
      <c r="K107" s="1"/>
      <c r="M107" s="23"/>
      <c r="N107" s="1"/>
      <c r="O107" s="23"/>
      <c r="R107" s="10"/>
    </row>
    <row r="108" customFormat="false" ht="15" hidden="false" customHeight="false" outlineLevel="0" collapsed="false">
      <c r="A108" s="1"/>
      <c r="D108" s="1"/>
      <c r="H108" s="1"/>
      <c r="I108" s="1"/>
      <c r="J108" s="1"/>
      <c r="K108" s="1"/>
      <c r="N108" s="1"/>
      <c r="R108" s="10"/>
    </row>
    <row r="109" customFormat="false" ht="15" hidden="false" customHeight="false" outlineLevel="0" collapsed="false">
      <c r="A109" s="1"/>
      <c r="D109" s="1"/>
      <c r="H109" s="1"/>
      <c r="I109" s="1"/>
      <c r="J109" s="1"/>
      <c r="K109" s="1"/>
      <c r="M109" s="23"/>
      <c r="N109" s="1"/>
      <c r="O109" s="23"/>
      <c r="R109" s="10"/>
    </row>
    <row r="110" customFormat="false" ht="15" hidden="false" customHeight="false" outlineLevel="0" collapsed="false">
      <c r="A110" s="1"/>
      <c r="D110" s="1"/>
      <c r="H110" s="1"/>
      <c r="I110" s="1"/>
      <c r="J110" s="1"/>
      <c r="K110" s="1"/>
      <c r="M110" s="23"/>
      <c r="N110" s="1"/>
      <c r="O110" s="23"/>
      <c r="R110" s="10"/>
    </row>
    <row r="111" customFormat="false" ht="15" hidden="false" customHeight="false" outlineLevel="0" collapsed="false">
      <c r="A111" s="1"/>
      <c r="D111" s="1"/>
      <c r="H111" s="1"/>
      <c r="I111" s="1"/>
      <c r="J111" s="1"/>
      <c r="K111" s="1"/>
      <c r="M111" s="23"/>
      <c r="N111" s="1"/>
      <c r="O111" s="23"/>
      <c r="R111" s="10"/>
    </row>
    <row r="112" customFormat="false" ht="15" hidden="false" customHeight="false" outlineLevel="0" collapsed="false">
      <c r="A112" s="1"/>
      <c r="D112" s="1"/>
      <c r="H112" s="1"/>
      <c r="I112" s="1"/>
      <c r="J112" s="1"/>
      <c r="K112" s="1"/>
      <c r="M112" s="23"/>
      <c r="N112" s="1"/>
      <c r="O112" s="23"/>
      <c r="R112" s="10"/>
    </row>
    <row r="113" customFormat="false" ht="15" hidden="false" customHeight="false" outlineLevel="0" collapsed="false">
      <c r="A113" s="1"/>
      <c r="D113" s="1"/>
      <c r="H113" s="1"/>
      <c r="I113" s="1"/>
      <c r="J113" s="1"/>
      <c r="K113" s="1"/>
      <c r="M113" s="23"/>
      <c r="N113" s="1"/>
      <c r="O113" s="23"/>
      <c r="R113" s="10"/>
    </row>
    <row r="114" customFormat="false" ht="15" hidden="false" customHeight="false" outlineLevel="0" collapsed="false">
      <c r="A114" s="1"/>
      <c r="D114" s="1"/>
      <c r="H114" s="1"/>
      <c r="I114" s="1"/>
      <c r="J114" s="1"/>
      <c r="K114" s="1"/>
      <c r="M114" s="22"/>
      <c r="N114" s="1"/>
      <c r="O114" s="22"/>
      <c r="R114" s="10"/>
    </row>
    <row r="115" customFormat="false" ht="15" hidden="false" customHeight="false" outlineLevel="0" collapsed="false">
      <c r="A115" s="1"/>
      <c r="D115" s="1"/>
      <c r="H115" s="1"/>
      <c r="I115" s="1"/>
      <c r="J115" s="1"/>
      <c r="K115" s="1"/>
      <c r="M115" s="23"/>
      <c r="N115" s="1"/>
      <c r="O115" s="23"/>
      <c r="R115" s="10"/>
    </row>
    <row r="116" customFormat="false" ht="15" hidden="false" customHeight="false" outlineLevel="0" collapsed="false">
      <c r="A116" s="1"/>
      <c r="D116" s="1"/>
      <c r="H116" s="1"/>
      <c r="I116" s="1"/>
      <c r="J116" s="1"/>
      <c r="K116" s="1"/>
      <c r="M116" s="23"/>
      <c r="N116" s="1"/>
      <c r="O116" s="23"/>
      <c r="R116" s="10"/>
    </row>
    <row r="117" customFormat="false" ht="15" hidden="false" customHeight="false" outlineLevel="0" collapsed="false">
      <c r="A117" s="1"/>
      <c r="D117" s="1"/>
      <c r="H117" s="1"/>
      <c r="J117" s="1"/>
      <c r="K117" s="1"/>
      <c r="M117" s="23"/>
      <c r="N117" s="1"/>
      <c r="O117" s="23"/>
      <c r="R117" s="10"/>
    </row>
    <row r="118" customFormat="false" ht="15" hidden="false" customHeight="false" outlineLevel="0" collapsed="false">
      <c r="A118" s="1"/>
      <c r="D118" s="1"/>
      <c r="H118" s="1"/>
      <c r="J118" s="1"/>
      <c r="K118" s="1"/>
      <c r="M118" s="23"/>
      <c r="N118" s="1"/>
      <c r="O118" s="23"/>
      <c r="R118" s="10"/>
    </row>
    <row r="119" customFormat="false" ht="15" hidden="false" customHeight="false" outlineLevel="0" collapsed="false">
      <c r="A119" s="1"/>
      <c r="D119" s="1"/>
      <c r="H119" s="1"/>
      <c r="J119" s="1"/>
      <c r="K119" s="1"/>
      <c r="M119" s="23"/>
      <c r="N119" s="1"/>
      <c r="O119" s="23"/>
      <c r="R119" s="10"/>
    </row>
    <row r="120" customFormat="false" ht="15" hidden="false" customHeight="false" outlineLevel="0" collapsed="false">
      <c r="A120" s="1"/>
      <c r="D120" s="1"/>
      <c r="H120" s="1"/>
      <c r="J120" s="1"/>
      <c r="K120" s="1"/>
      <c r="M120" s="23"/>
      <c r="N120" s="1"/>
      <c r="O120" s="23"/>
      <c r="R120" s="10"/>
    </row>
    <row r="121" customFormat="false" ht="15" hidden="false" customHeight="false" outlineLevel="0" collapsed="false">
      <c r="A121" s="1"/>
      <c r="D121" s="1"/>
      <c r="H121" s="1"/>
      <c r="J121" s="1"/>
      <c r="K121" s="1"/>
      <c r="M121" s="23"/>
      <c r="N121" s="1"/>
      <c r="O121" s="23"/>
      <c r="R121" s="10"/>
    </row>
    <row r="122" customFormat="false" ht="15" hidden="false" customHeight="false" outlineLevel="0" collapsed="false">
      <c r="A122" s="1"/>
      <c r="D122" s="1"/>
      <c r="H122" s="1"/>
      <c r="J122" s="1"/>
      <c r="K122" s="1"/>
      <c r="M122" s="23"/>
      <c r="N122" s="1"/>
      <c r="O122" s="23"/>
      <c r="R122" s="10"/>
    </row>
    <row r="123" customFormat="false" ht="15" hidden="false" customHeight="false" outlineLevel="0" collapsed="false">
      <c r="A123" s="1"/>
      <c r="D123" s="1"/>
      <c r="H123" s="1"/>
      <c r="J123" s="1"/>
      <c r="K123" s="1"/>
      <c r="M123" s="23"/>
      <c r="N123" s="1"/>
      <c r="O123" s="23"/>
      <c r="R123" s="10"/>
    </row>
    <row r="124" customFormat="false" ht="15" hidden="false" customHeight="false" outlineLevel="0" collapsed="false">
      <c r="A124" s="1"/>
      <c r="D124" s="1"/>
      <c r="H124" s="1"/>
      <c r="J124" s="1"/>
      <c r="K124" s="1"/>
      <c r="M124" s="23"/>
      <c r="N124" s="1"/>
      <c r="O124" s="23"/>
      <c r="R124" s="10"/>
    </row>
    <row r="125" customFormat="false" ht="15" hidden="false" customHeight="false" outlineLevel="0" collapsed="false">
      <c r="A125" s="1"/>
      <c r="D125" s="1"/>
      <c r="H125" s="1"/>
      <c r="J125" s="1"/>
      <c r="K125" s="1"/>
      <c r="M125" s="23"/>
      <c r="N125" s="1"/>
      <c r="O125" s="23"/>
      <c r="R125" s="10"/>
    </row>
    <row r="126" customFormat="false" ht="15" hidden="false" customHeight="false" outlineLevel="0" collapsed="false">
      <c r="A126" s="1"/>
      <c r="D126" s="1"/>
      <c r="H126" s="1"/>
      <c r="J126" s="1"/>
      <c r="K126" s="1"/>
      <c r="M126" s="23"/>
      <c r="N126" s="1"/>
      <c r="O126" s="23"/>
      <c r="R126" s="10"/>
    </row>
    <row r="127" customFormat="false" ht="15" hidden="false" customHeight="false" outlineLevel="0" collapsed="false">
      <c r="A127" s="1"/>
      <c r="D127" s="1"/>
      <c r="H127" s="1"/>
      <c r="J127" s="1"/>
      <c r="K127" s="1"/>
      <c r="M127" s="23"/>
      <c r="N127" s="1"/>
      <c r="O127" s="23"/>
      <c r="R127" s="10"/>
    </row>
    <row r="128" customFormat="false" ht="15" hidden="false" customHeight="false" outlineLevel="0" collapsed="false">
      <c r="A128" s="1"/>
      <c r="D128" s="1"/>
      <c r="H128" s="1"/>
      <c r="J128" s="1"/>
      <c r="K128" s="1"/>
      <c r="M128" s="23"/>
      <c r="N128" s="1"/>
      <c r="O128" s="23"/>
      <c r="R128" s="10"/>
    </row>
    <row r="129" customFormat="false" ht="15" hidden="false" customHeight="false" outlineLevel="0" collapsed="false">
      <c r="A129" s="1"/>
      <c r="D129" s="1"/>
      <c r="H129" s="1"/>
      <c r="J129" s="1"/>
      <c r="K129" s="1"/>
      <c r="M129" s="23"/>
      <c r="N129" s="1"/>
      <c r="O129" s="23"/>
      <c r="R129" s="10"/>
    </row>
    <row r="130" customFormat="false" ht="15" hidden="false" customHeight="false" outlineLevel="0" collapsed="false">
      <c r="A130" s="1"/>
      <c r="D130" s="1"/>
      <c r="H130" s="1"/>
      <c r="J130" s="1"/>
      <c r="K130" s="1"/>
      <c r="M130" s="23"/>
      <c r="N130" s="1"/>
      <c r="O130" s="23"/>
      <c r="R130" s="10"/>
    </row>
    <row r="131" customFormat="false" ht="15" hidden="false" customHeight="false" outlineLevel="0" collapsed="false">
      <c r="A131" s="1"/>
      <c r="D131" s="1"/>
      <c r="H131" s="1"/>
      <c r="J131" s="1"/>
      <c r="K131" s="1"/>
      <c r="M131" s="23"/>
      <c r="N131" s="1"/>
      <c r="O131" s="23"/>
      <c r="R131" s="10"/>
    </row>
    <row r="132" customFormat="false" ht="15" hidden="false" customHeight="false" outlineLevel="0" collapsed="false">
      <c r="A132" s="1"/>
      <c r="D132" s="1"/>
      <c r="H132" s="1"/>
      <c r="J132" s="1"/>
      <c r="K132" s="1"/>
      <c r="M132" s="23"/>
      <c r="N132" s="1"/>
      <c r="O132" s="23"/>
      <c r="R132" s="10"/>
    </row>
    <row r="133" customFormat="false" ht="15" hidden="false" customHeight="false" outlineLevel="0" collapsed="false">
      <c r="A133" s="1"/>
      <c r="D133" s="1"/>
      <c r="H133" s="1"/>
      <c r="J133" s="1"/>
      <c r="K133" s="1"/>
      <c r="M133" s="23"/>
      <c r="N133" s="1"/>
      <c r="O133" s="23"/>
      <c r="R133" s="10"/>
    </row>
    <row r="134" customFormat="false" ht="15" hidden="false" customHeight="false" outlineLevel="0" collapsed="false">
      <c r="A134" s="1"/>
      <c r="D134" s="1"/>
      <c r="H134" s="1"/>
      <c r="J134" s="1"/>
      <c r="K134" s="1"/>
      <c r="M134" s="23"/>
      <c r="N134" s="1"/>
      <c r="O134" s="23"/>
      <c r="R134" s="10"/>
    </row>
    <row r="135" customFormat="false" ht="15" hidden="false" customHeight="false" outlineLevel="0" collapsed="false">
      <c r="A135" s="1"/>
      <c r="D135" s="1"/>
      <c r="H135" s="1"/>
      <c r="J135" s="1"/>
      <c r="K135" s="1"/>
      <c r="M135" s="23"/>
      <c r="N135" s="1"/>
      <c r="O135" s="23"/>
      <c r="R135" s="10"/>
    </row>
    <row r="136" customFormat="false" ht="15" hidden="false" customHeight="false" outlineLevel="0" collapsed="false">
      <c r="A136" s="1"/>
      <c r="D136" s="1"/>
      <c r="H136" s="1"/>
      <c r="J136" s="1"/>
      <c r="K136" s="1"/>
      <c r="M136" s="23"/>
      <c r="N136" s="1"/>
      <c r="O136" s="23"/>
      <c r="R136" s="10"/>
    </row>
    <row r="137" customFormat="false" ht="15" hidden="false" customHeight="false" outlineLevel="0" collapsed="false">
      <c r="A137" s="1"/>
      <c r="D137" s="1"/>
      <c r="H137" s="1"/>
      <c r="J137" s="1"/>
      <c r="K137" s="1"/>
      <c r="M137" s="23"/>
      <c r="N137" s="1"/>
      <c r="O137" s="23"/>
      <c r="R137" s="10"/>
    </row>
    <row r="138" customFormat="false" ht="15" hidden="false" customHeight="false" outlineLevel="0" collapsed="false">
      <c r="A138" s="1"/>
      <c r="D138" s="1"/>
      <c r="H138" s="1"/>
      <c r="J138" s="1"/>
      <c r="K138" s="1"/>
      <c r="M138" s="23"/>
      <c r="N138" s="1"/>
      <c r="O138" s="23"/>
      <c r="R138" s="10"/>
    </row>
    <row r="139" customFormat="false" ht="15" hidden="false" customHeight="false" outlineLevel="0" collapsed="false">
      <c r="A139" s="1"/>
      <c r="D139" s="1"/>
      <c r="H139" s="1"/>
      <c r="J139" s="1"/>
      <c r="K139" s="1"/>
      <c r="M139" s="23"/>
      <c r="N139" s="1"/>
      <c r="O139" s="23"/>
      <c r="R139" s="10"/>
    </row>
    <row r="140" customFormat="false" ht="15" hidden="false" customHeight="false" outlineLevel="0" collapsed="false">
      <c r="A140" s="1"/>
      <c r="D140" s="1"/>
      <c r="H140" s="1"/>
      <c r="J140" s="1"/>
      <c r="K140" s="1"/>
      <c r="M140" s="23"/>
      <c r="N140" s="1"/>
      <c r="O140" s="23"/>
      <c r="R140" s="10"/>
    </row>
    <row r="141" customFormat="false" ht="15" hidden="false" customHeight="false" outlineLevel="0" collapsed="false">
      <c r="A141" s="1"/>
      <c r="D141" s="1"/>
      <c r="H141" s="1"/>
      <c r="J141" s="1"/>
      <c r="K141" s="1"/>
      <c r="M141" s="23"/>
      <c r="N141" s="1"/>
      <c r="O141" s="23"/>
      <c r="R141" s="10"/>
    </row>
    <row r="142" customFormat="false" ht="15" hidden="false" customHeight="false" outlineLevel="0" collapsed="false">
      <c r="A142" s="1"/>
      <c r="D142" s="1"/>
      <c r="H142" s="1"/>
      <c r="J142" s="1"/>
      <c r="K142" s="1"/>
      <c r="M142" s="23"/>
      <c r="N142" s="1"/>
      <c r="O142" s="23"/>
      <c r="R142" s="10"/>
    </row>
    <row r="143" customFormat="false" ht="15" hidden="false" customHeight="false" outlineLevel="0" collapsed="false">
      <c r="A143" s="1"/>
      <c r="D143" s="1"/>
      <c r="H143" s="1"/>
      <c r="J143" s="1"/>
      <c r="K143" s="1"/>
      <c r="M143" s="23"/>
      <c r="N143" s="1"/>
      <c r="O143" s="23"/>
      <c r="R143" s="10"/>
    </row>
    <row r="144" customFormat="false" ht="15" hidden="false" customHeight="false" outlineLevel="0" collapsed="false">
      <c r="A144" s="1"/>
      <c r="D144" s="1"/>
      <c r="H144" s="1"/>
      <c r="J144" s="1"/>
      <c r="K144" s="1"/>
      <c r="M144" s="23"/>
      <c r="N144" s="1"/>
      <c r="O144" s="23"/>
      <c r="R144" s="10"/>
    </row>
    <row r="145" customFormat="false" ht="15" hidden="false" customHeight="false" outlineLevel="0" collapsed="false">
      <c r="A145" s="1"/>
      <c r="D145" s="1"/>
      <c r="H145" s="1"/>
      <c r="J145" s="1"/>
      <c r="K145" s="1"/>
      <c r="M145" s="23"/>
      <c r="N145" s="1"/>
      <c r="O145" s="23"/>
      <c r="R145" s="10"/>
    </row>
    <row r="146" customFormat="false" ht="15" hidden="false" customHeight="false" outlineLevel="0" collapsed="false">
      <c r="H146" s="1"/>
      <c r="J146" s="1"/>
      <c r="K146" s="1"/>
      <c r="N146" s="1"/>
      <c r="R146" s="10"/>
    </row>
  </sheetData>
  <conditionalFormatting sqref="N48:N53">
    <cfRule type="containsText" priority="2" operator="containsText" aboveAverage="0" equalAverage="0" bottom="0" percent="0" rank="0" text="a montar" dxfId="0">
      <formula>NOT(ISERROR(SEARCH("a montar",N48)))</formula>
    </cfRule>
    <cfRule type="containsText" priority="3" operator="containsText" aboveAverage="0" equalAverage="0" bottom="0" percent="0" rank="0" text="a serrar" dxfId="1">
      <formula>NOT(ISERROR(SEARCH("a serrar",N48)))</formula>
    </cfRule>
    <cfRule type="containsText" priority="4" operator="containsText" aboveAverage="0" equalAverage="0" bottom="0" percent="0" rank="0" text="pronto" dxfId="2">
      <formula>NOT(ISERROR(SEARCH("pronto",N48)))</formula>
    </cfRule>
    <cfRule type="containsText" priority="5" operator="containsText" aboveAverage="0" equalAverage="0" bottom="0" percent="0" rank="0" text="empreita" dxfId="3">
      <formula>NOT(ISERROR(SEARCH("empreita",N48)))</formula>
    </cfRule>
    <cfRule type="containsText" priority="6" operator="containsText" aboveAverage="0" equalAverage="0" bottom="0" percent="0" rank="0" text="previsto" dxfId="4">
      <formula>NOT(ISERROR(SEARCH("previsto",N48)))</formula>
    </cfRule>
    <cfRule type="containsText" priority="7" operator="containsText" aboveAverage="0" equalAverage="0" bottom="0" percent="0" rank="0" text="produzindo" dxfId="5">
      <formula>NOT(ISERROR(SEARCH("produzindo",N48)))</formula>
    </cfRule>
    <cfRule type="containsText" priority="8" operator="containsText" aboveAverage="0" equalAverage="0" bottom="0" percent="0" rank="0" text="material ok" dxfId="6">
      <formula>NOT(ISERROR(SEARCH("material ok",N48)))</formula>
    </cfRule>
  </conditionalFormatting>
  <conditionalFormatting sqref="N40">
    <cfRule type="containsText" priority="9" operator="containsText" aboveAverage="0" equalAverage="0" bottom="0" percent="0" rank="0" text="a montar" dxfId="7">
      <formula>NOT(ISERROR(SEARCH("a montar",N40)))</formula>
    </cfRule>
    <cfRule type="containsText" priority="10" operator="containsText" aboveAverage="0" equalAverage="0" bottom="0" percent="0" rank="0" text="a serrar" dxfId="8">
      <formula>NOT(ISERROR(SEARCH("a serrar",N40)))</formula>
    </cfRule>
    <cfRule type="containsText" priority="11" operator="containsText" aboveAverage="0" equalAverage="0" bottom="0" percent="0" rank="0" text="pronto" dxfId="9">
      <formula>NOT(ISERROR(SEARCH("pronto",N40)))</formula>
    </cfRule>
    <cfRule type="containsText" priority="12" operator="containsText" aboveAverage="0" equalAverage="0" bottom="0" percent="0" rank="0" text="empreita" dxfId="10">
      <formula>NOT(ISERROR(SEARCH("empreita",N40)))</formula>
    </cfRule>
    <cfRule type="containsText" priority="13" operator="containsText" aboveAverage="0" equalAverage="0" bottom="0" percent="0" rank="0" text="previsto" dxfId="11">
      <formula>NOT(ISERROR(SEARCH("previsto",N40)))</formula>
    </cfRule>
    <cfRule type="containsText" priority="14" operator="containsText" aboveAverage="0" equalAverage="0" bottom="0" percent="0" rank="0" text="produzindo" dxfId="12">
      <formula>NOT(ISERROR(SEARCH("produzindo",N40)))</formula>
    </cfRule>
    <cfRule type="containsText" priority="15" operator="containsText" aboveAverage="0" equalAverage="0" bottom="0" percent="0" rank="0" text="material ok" dxfId="13">
      <formula>NOT(ISERROR(SEARCH("material ok",N40)))</formula>
    </cfRule>
  </conditionalFormatting>
  <conditionalFormatting sqref="N42:N46">
    <cfRule type="containsText" priority="16" operator="containsText" aboveAverage="0" equalAverage="0" bottom="0" percent="0" rank="0" text="a montar" dxfId="14">
      <formula>NOT(ISERROR(SEARCH("a montar",N42)))</formula>
    </cfRule>
    <cfRule type="containsText" priority="17" operator="containsText" aboveAverage="0" equalAverage="0" bottom="0" percent="0" rank="0" text="a serrar" dxfId="15">
      <formula>NOT(ISERROR(SEARCH("a serrar",N42)))</formula>
    </cfRule>
    <cfRule type="containsText" priority="18" operator="containsText" aboveAverage="0" equalAverage="0" bottom="0" percent="0" rank="0" text="pronto" dxfId="16">
      <formula>NOT(ISERROR(SEARCH("pronto",N42)))</formula>
    </cfRule>
    <cfRule type="containsText" priority="19" operator="containsText" aboveAverage="0" equalAverage="0" bottom="0" percent="0" rank="0" text="empreita" dxfId="17">
      <formula>NOT(ISERROR(SEARCH("empreita",N42)))</formula>
    </cfRule>
    <cfRule type="containsText" priority="20" operator="containsText" aboveAverage="0" equalAverage="0" bottom="0" percent="0" rank="0" text="previsto" dxfId="18">
      <formula>NOT(ISERROR(SEARCH("previsto",N42)))</formula>
    </cfRule>
    <cfRule type="containsText" priority="21" operator="containsText" aboveAverage="0" equalAverage="0" bottom="0" percent="0" rank="0" text="produzindo" dxfId="19">
      <formula>NOT(ISERROR(SEARCH("produzindo",N42)))</formula>
    </cfRule>
    <cfRule type="containsText" priority="22" operator="containsText" aboveAverage="0" equalAverage="0" bottom="0" percent="0" rank="0" text="material ok" dxfId="20">
      <formula>NOT(ISERROR(SEARCH("material ok",N42)))</formula>
    </cfRule>
  </conditionalFormatting>
  <conditionalFormatting sqref="N19:N35">
    <cfRule type="containsText" priority="23" operator="containsText" aboveAverage="0" equalAverage="0" bottom="0" percent="0" rank="0" text="a montar" dxfId="21">
      <formula>NOT(ISERROR(SEARCH("a montar",N19)))</formula>
    </cfRule>
    <cfRule type="containsText" priority="24" operator="containsText" aboveAverage="0" equalAverage="0" bottom="0" percent="0" rank="0" text="a serrar" dxfId="22">
      <formula>NOT(ISERROR(SEARCH("a serrar",N19)))</formula>
    </cfRule>
    <cfRule type="containsText" priority="25" operator="containsText" aboveAverage="0" equalAverage="0" bottom="0" percent="0" rank="0" text="pronto" dxfId="23">
      <formula>NOT(ISERROR(SEARCH("pronto",N19)))</formula>
    </cfRule>
    <cfRule type="containsText" priority="26" operator="containsText" aboveAverage="0" equalAverage="0" bottom="0" percent="0" rank="0" text="empreita" dxfId="24">
      <formula>NOT(ISERROR(SEARCH("empreita",N19)))</formula>
    </cfRule>
    <cfRule type="containsText" priority="27" operator="containsText" aboveAverage="0" equalAverage="0" bottom="0" percent="0" rank="0" text="previsto" dxfId="25">
      <formula>NOT(ISERROR(SEARCH("previsto",N19)))</formula>
    </cfRule>
    <cfRule type="containsText" priority="28" operator="containsText" aboveAverage="0" equalAverage="0" bottom="0" percent="0" rank="0" text="produzindo" dxfId="26">
      <formula>NOT(ISERROR(SEARCH("produzindo",N19)))</formula>
    </cfRule>
    <cfRule type="containsText" priority="29" operator="containsText" aboveAverage="0" equalAverage="0" bottom="0" percent="0" rank="0" text="material ok" dxfId="27">
      <formula>NOT(ISERROR(SEARCH("material ok",N19)))</formula>
    </cfRule>
  </conditionalFormatting>
  <conditionalFormatting sqref="N55:N59">
    <cfRule type="containsText" priority="30" operator="containsText" aboveAverage="0" equalAverage="0" bottom="0" percent="0" rank="0" text="a montar" dxfId="28">
      <formula>NOT(ISERROR(SEARCH("a montar",N55)))</formula>
    </cfRule>
    <cfRule type="containsText" priority="31" operator="containsText" aboveAverage="0" equalAverage="0" bottom="0" percent="0" rank="0" text="a serrar" dxfId="29">
      <formula>NOT(ISERROR(SEARCH("a serrar",N55)))</formula>
    </cfRule>
    <cfRule type="containsText" priority="32" operator="containsText" aboveAverage="0" equalAverage="0" bottom="0" percent="0" rank="0" text="pronto" dxfId="30">
      <formula>NOT(ISERROR(SEARCH("pronto",N55)))</formula>
    </cfRule>
    <cfRule type="containsText" priority="33" operator="containsText" aboveAverage="0" equalAverage="0" bottom="0" percent="0" rank="0" text="empreita" dxfId="31">
      <formula>NOT(ISERROR(SEARCH("empreita",N55)))</formula>
    </cfRule>
    <cfRule type="containsText" priority="34" operator="containsText" aboveAverage="0" equalAverage="0" bottom="0" percent="0" rank="0" text="previsto" dxfId="32">
      <formula>NOT(ISERROR(SEARCH("previsto",N55)))</formula>
    </cfRule>
    <cfRule type="containsText" priority="35" operator="containsText" aboveAverage="0" equalAverage="0" bottom="0" percent="0" rank="0" text="produzindo" dxfId="33">
      <formula>NOT(ISERROR(SEARCH("produzindo",N55)))</formula>
    </cfRule>
    <cfRule type="containsText" priority="36" operator="containsText" aboveAverage="0" equalAverage="0" bottom="0" percent="0" rank="0" text="material ok" dxfId="34">
      <formula>NOT(ISERROR(SEARCH("material ok",N55)))</formula>
    </cfRule>
  </conditionalFormatting>
  <conditionalFormatting sqref="N37:N38">
    <cfRule type="containsText" priority="37" operator="containsText" aboveAverage="0" equalAverage="0" bottom="0" percent="0" rank="0" text="a montar" dxfId="35">
      <formula>NOT(ISERROR(SEARCH("a montar",N37)))</formula>
    </cfRule>
    <cfRule type="containsText" priority="38" operator="containsText" aboveAverage="0" equalAverage="0" bottom="0" percent="0" rank="0" text="a serrar" dxfId="36">
      <formula>NOT(ISERROR(SEARCH("a serrar",N37)))</formula>
    </cfRule>
    <cfRule type="containsText" priority="39" operator="containsText" aboveAverage="0" equalAverage="0" bottom="0" percent="0" rank="0" text="pronto" dxfId="37">
      <formula>NOT(ISERROR(SEARCH("pronto",N37)))</formula>
    </cfRule>
    <cfRule type="containsText" priority="40" operator="containsText" aboveAverage="0" equalAverage="0" bottom="0" percent="0" rank="0" text="empreita" dxfId="38">
      <formula>NOT(ISERROR(SEARCH("empreita",N37)))</formula>
    </cfRule>
    <cfRule type="containsText" priority="41" operator="containsText" aboveAverage="0" equalAverage="0" bottom="0" percent="0" rank="0" text="previsto" dxfId="39">
      <formula>NOT(ISERROR(SEARCH("previsto",N37)))</formula>
    </cfRule>
    <cfRule type="containsText" priority="42" operator="containsText" aboveAverage="0" equalAverage="0" bottom="0" percent="0" rank="0" text="produzindo" dxfId="40">
      <formula>NOT(ISERROR(SEARCH("produzindo",N37)))</formula>
    </cfRule>
    <cfRule type="containsText" priority="43" operator="containsText" aboveAverage="0" equalAverage="0" bottom="0" percent="0" rank="0" text="material ok" dxfId="41">
      <formula>NOT(ISERROR(SEARCH("material ok",N37)))</formula>
    </cfRule>
  </conditionalFormatting>
  <conditionalFormatting sqref="N14:N17">
    <cfRule type="containsText" priority="44" operator="containsText" aboveAverage="0" equalAverage="0" bottom="0" percent="0" rank="0" text="a montar" dxfId="42">
      <formula>NOT(ISERROR(SEARCH("a montar",N14)))</formula>
    </cfRule>
    <cfRule type="containsText" priority="45" operator="containsText" aboveAverage="0" equalAverage="0" bottom="0" percent="0" rank="0" text="a serrar" dxfId="43">
      <formula>NOT(ISERROR(SEARCH("a serrar",N14)))</formula>
    </cfRule>
    <cfRule type="containsText" priority="46" operator="containsText" aboveAverage="0" equalAverage="0" bottom="0" percent="0" rank="0" text="pronto" dxfId="44">
      <formula>NOT(ISERROR(SEARCH("pronto",N14)))</formula>
    </cfRule>
    <cfRule type="containsText" priority="47" operator="containsText" aboveAverage="0" equalAverage="0" bottom="0" percent="0" rank="0" text="empreita" dxfId="45">
      <formula>NOT(ISERROR(SEARCH("empreita",N14)))</formula>
    </cfRule>
    <cfRule type="containsText" priority="48" operator="containsText" aboveAverage="0" equalAverage="0" bottom="0" percent="0" rank="0" text="previsto" dxfId="46">
      <formula>NOT(ISERROR(SEARCH("previsto",N14)))</formula>
    </cfRule>
    <cfRule type="containsText" priority="49" operator="containsText" aboveAverage="0" equalAverage="0" bottom="0" percent="0" rank="0" text="produzindo" dxfId="47">
      <formula>NOT(ISERROR(SEARCH("produzindo",N14)))</formula>
    </cfRule>
    <cfRule type="containsText" priority="50" operator="containsText" aboveAverage="0" equalAverage="0" bottom="0" percent="0" rank="0" text="material ok" dxfId="48">
      <formula>NOT(ISERROR(SEARCH("material ok",N14)))</formula>
    </cfRule>
  </conditionalFormatting>
  <conditionalFormatting sqref="N10:N12">
    <cfRule type="containsText" priority="51" operator="containsText" aboveAverage="0" equalAverage="0" bottom="0" percent="0" rank="0" text="a montar" dxfId="49">
      <formula>NOT(ISERROR(SEARCH("a montar",N10)))</formula>
    </cfRule>
    <cfRule type="containsText" priority="52" operator="containsText" aboveAverage="0" equalAverage="0" bottom="0" percent="0" rank="0" text="a serrar" dxfId="50">
      <formula>NOT(ISERROR(SEARCH("a serrar",N10)))</formula>
    </cfRule>
    <cfRule type="containsText" priority="53" operator="containsText" aboveAverage="0" equalAverage="0" bottom="0" percent="0" rank="0" text="pronto" dxfId="51">
      <formula>NOT(ISERROR(SEARCH("pronto",N10)))</formula>
    </cfRule>
    <cfRule type="containsText" priority="54" operator="containsText" aboveAverage="0" equalAverage="0" bottom="0" percent="0" rank="0" text="empreita" dxfId="52">
      <formula>NOT(ISERROR(SEARCH("empreita",N10)))</formula>
    </cfRule>
    <cfRule type="containsText" priority="55" operator="containsText" aboveAverage="0" equalAverage="0" bottom="0" percent="0" rank="0" text="previsto" dxfId="53">
      <formula>NOT(ISERROR(SEARCH("previsto",N10)))</formula>
    </cfRule>
    <cfRule type="containsText" priority="56" operator="containsText" aboveAverage="0" equalAverage="0" bottom="0" percent="0" rank="0" text="produzindo" dxfId="54">
      <formula>NOT(ISERROR(SEARCH("produzindo",N10)))</formula>
    </cfRule>
    <cfRule type="containsText" priority="57" operator="containsText" aboveAverage="0" equalAverage="0" bottom="0" percent="0" rank="0" text="material ok" dxfId="55">
      <formula>NOT(ISERROR(SEARCH("material ok",N10)))</formula>
    </cfRule>
  </conditionalFormatting>
  <conditionalFormatting sqref="N1:N8">
    <cfRule type="containsText" priority="58" operator="containsText" aboveAverage="0" equalAverage="0" bottom="0" percent="0" rank="0" text="a montar" dxfId="56">
      <formula>NOT(ISERROR(SEARCH("a montar",N1)))</formula>
    </cfRule>
    <cfRule type="containsText" priority="59" operator="containsText" aboveAverage="0" equalAverage="0" bottom="0" percent="0" rank="0" text="a serrar" dxfId="57">
      <formula>NOT(ISERROR(SEARCH("a serrar",N1)))</formula>
    </cfRule>
    <cfRule type="containsText" priority="60" operator="containsText" aboveAverage="0" equalAverage="0" bottom="0" percent="0" rank="0" text="pronto" dxfId="58">
      <formula>NOT(ISERROR(SEARCH("pronto",N1)))</formula>
    </cfRule>
    <cfRule type="containsText" priority="61" operator="containsText" aboveAverage="0" equalAverage="0" bottom="0" percent="0" rank="0" text="empreita" dxfId="59">
      <formula>NOT(ISERROR(SEARCH("empreita",N1)))</formula>
    </cfRule>
    <cfRule type="containsText" priority="62" operator="containsText" aboveAverage="0" equalAverage="0" bottom="0" percent="0" rank="0" text="previsto" dxfId="60">
      <formula>NOT(ISERROR(SEARCH("previsto",N1)))</formula>
    </cfRule>
    <cfRule type="containsText" priority="63" operator="containsText" aboveAverage="0" equalAverage="0" bottom="0" percent="0" rank="0" text="produzindo" dxfId="61">
      <formula>NOT(ISERROR(SEARCH("produzindo",N1)))</formula>
    </cfRule>
    <cfRule type="containsText" priority="64" operator="containsText" aboveAverage="0" equalAverage="0" bottom="0" percent="0" rank="0" text="material ok" dxfId="62">
      <formula>NOT(ISERROR(SEARCH("material ok",N1)))</formula>
    </cfRule>
  </conditionalFormatting>
  <conditionalFormatting sqref="N93:N95">
    <cfRule type="containsText" priority="65" operator="containsText" aboveAverage="0" equalAverage="0" bottom="0" percent="0" rank="0" text="a montar" dxfId="63">
      <formula>NOT(ISERROR(SEARCH("a montar",N93)))</formula>
    </cfRule>
    <cfRule type="containsText" priority="66" operator="containsText" aboveAverage="0" equalAverage="0" bottom="0" percent="0" rank="0" text="a serrar" dxfId="64">
      <formula>NOT(ISERROR(SEARCH("a serrar",N93)))</formula>
    </cfRule>
    <cfRule type="containsText" priority="67" operator="containsText" aboveAverage="0" equalAverage="0" bottom="0" percent="0" rank="0" text="pronto" dxfId="65">
      <formula>NOT(ISERROR(SEARCH("pronto",N93)))</formula>
    </cfRule>
    <cfRule type="containsText" priority="68" operator="containsText" aboveAverage="0" equalAverage="0" bottom="0" percent="0" rank="0" text="empreita" dxfId="66">
      <formula>NOT(ISERROR(SEARCH("empreita",N93)))</formula>
    </cfRule>
    <cfRule type="containsText" priority="69" operator="containsText" aboveAverage="0" equalAverage="0" bottom="0" percent="0" rank="0" text="previsto" dxfId="67">
      <formula>NOT(ISERROR(SEARCH("previsto",N93)))</formula>
    </cfRule>
    <cfRule type="containsText" priority="70" operator="containsText" aboveAverage="0" equalAverage="0" bottom="0" percent="0" rank="0" text="produzindo" dxfId="68">
      <formula>NOT(ISERROR(SEARCH("produzindo",N93)))</formula>
    </cfRule>
    <cfRule type="containsText" priority="71" operator="containsText" aboveAverage="0" equalAverage="0" bottom="0" percent="0" rank="0" text="material ok" dxfId="69">
      <formula>NOT(ISERROR(SEARCH("material ok",N93)))</formula>
    </cfRule>
  </conditionalFormatting>
  <conditionalFormatting sqref="N97:N98">
    <cfRule type="containsText" priority="72" operator="containsText" aboveAverage="0" equalAverage="0" bottom="0" percent="0" rank="0" text="a montar" dxfId="70">
      <formula>NOT(ISERROR(SEARCH("a montar",N97)))</formula>
    </cfRule>
    <cfRule type="containsText" priority="73" operator="containsText" aboveAverage="0" equalAverage="0" bottom="0" percent="0" rank="0" text="a serrar" dxfId="71">
      <formula>NOT(ISERROR(SEARCH("a serrar",N97)))</formula>
    </cfRule>
    <cfRule type="containsText" priority="74" operator="containsText" aboveAverage="0" equalAverage="0" bottom="0" percent="0" rank="0" text="pronto" dxfId="72">
      <formula>NOT(ISERROR(SEARCH("pronto",N97)))</formula>
    </cfRule>
    <cfRule type="containsText" priority="75" operator="containsText" aboveAverage="0" equalAverage="0" bottom="0" percent="0" rank="0" text="empreita" dxfId="73">
      <formula>NOT(ISERROR(SEARCH("empreita",N97)))</formula>
    </cfRule>
    <cfRule type="containsText" priority="76" operator="containsText" aboveAverage="0" equalAverage="0" bottom="0" percent="0" rank="0" text="previsto" dxfId="74">
      <formula>NOT(ISERROR(SEARCH("previsto",N97)))</formula>
    </cfRule>
    <cfRule type="containsText" priority="77" operator="containsText" aboveAverage="0" equalAverage="0" bottom="0" percent="0" rank="0" text="produzindo" dxfId="75">
      <formula>NOT(ISERROR(SEARCH("produzindo",N97)))</formula>
    </cfRule>
    <cfRule type="containsText" priority="78" operator="containsText" aboveAverage="0" equalAverage="0" bottom="0" percent="0" rank="0" text="material ok" dxfId="76">
      <formula>NOT(ISERROR(SEARCH("material ok",N97)))</formula>
    </cfRule>
  </conditionalFormatting>
  <conditionalFormatting sqref="N100 N102:N103">
    <cfRule type="containsText" priority="79" operator="containsText" aboveAverage="0" equalAverage="0" bottom="0" percent="0" rank="0" text="a montar" dxfId="77">
      <formula>NOT(ISERROR(SEARCH("a montar",N100)))</formula>
    </cfRule>
    <cfRule type="containsText" priority="80" operator="containsText" aboveAverage="0" equalAverage="0" bottom="0" percent="0" rank="0" text="a serrar" dxfId="78">
      <formula>NOT(ISERROR(SEARCH("a serrar",N100)))</formula>
    </cfRule>
    <cfRule type="containsText" priority="81" operator="containsText" aboveAverage="0" equalAverage="0" bottom="0" percent="0" rank="0" text="pronto" dxfId="79">
      <formula>NOT(ISERROR(SEARCH("pronto",N100)))</formula>
    </cfRule>
    <cfRule type="containsText" priority="82" operator="containsText" aboveAverage="0" equalAverage="0" bottom="0" percent="0" rank="0" text="empreita" dxfId="80">
      <formula>NOT(ISERROR(SEARCH("empreita",N100)))</formula>
    </cfRule>
    <cfRule type="containsText" priority="83" operator="containsText" aboveAverage="0" equalAverage="0" bottom="0" percent="0" rank="0" text="previsto" dxfId="81">
      <formula>NOT(ISERROR(SEARCH("previsto",N100)))</formula>
    </cfRule>
    <cfRule type="containsText" priority="84" operator="containsText" aboveAverage="0" equalAverage="0" bottom="0" percent="0" rank="0" text="produzindo" dxfId="82">
      <formula>NOT(ISERROR(SEARCH("produzindo",N100)))</formula>
    </cfRule>
    <cfRule type="containsText" priority="85" operator="containsText" aboveAverage="0" equalAverage="0" bottom="0" percent="0" rank="0" text="material ok" dxfId="83">
      <formula>NOT(ISERROR(SEARCH("material ok",N100)))</formula>
    </cfRule>
  </conditionalFormatting>
  <conditionalFormatting sqref="M1">
    <cfRule type="containsText" priority="86" operator="containsText" aboveAverage="0" equalAverage="0" bottom="0" percent="0" rank="0" text="a montar" dxfId="84">
      <formula>NOT(ISERROR(SEARCH("a montar",M1)))</formula>
    </cfRule>
    <cfRule type="containsText" priority="87" operator="containsText" aboveAverage="0" equalAverage="0" bottom="0" percent="0" rank="0" text="a serrar" dxfId="85">
      <formula>NOT(ISERROR(SEARCH("a serrar",M1)))</formula>
    </cfRule>
    <cfRule type="containsText" priority="88" operator="containsText" aboveAverage="0" equalAverage="0" bottom="0" percent="0" rank="0" text="pronto" dxfId="86">
      <formula>NOT(ISERROR(SEARCH("pronto",M1)))</formula>
    </cfRule>
    <cfRule type="containsText" priority="89" operator="containsText" aboveAverage="0" equalAverage="0" bottom="0" percent="0" rank="0" text="empreita" dxfId="87">
      <formula>NOT(ISERROR(SEARCH("empreita",M1)))</formula>
    </cfRule>
    <cfRule type="containsText" priority="90" operator="containsText" aboveAverage="0" equalAverage="0" bottom="0" percent="0" rank="0" text="previsto" dxfId="88">
      <formula>NOT(ISERROR(SEARCH("previsto",M1)))</formula>
    </cfRule>
    <cfRule type="containsText" priority="91" operator="containsText" aboveAverage="0" equalAverage="0" bottom="0" percent="0" rank="0" text="produzindo" dxfId="89">
      <formula>NOT(ISERROR(SEARCH("produzindo",M1)))</formula>
    </cfRule>
    <cfRule type="containsText" priority="92" operator="containsText" aboveAverage="0" equalAverage="0" bottom="0" percent="0" rank="0" text="material ok" dxfId="90">
      <formula>NOT(ISERROR(SEARCH("material ok",M1)))</formula>
    </cfRule>
  </conditionalFormatting>
  <conditionalFormatting sqref="J1">
    <cfRule type="containsText" priority="93" operator="containsText" aboveAverage="0" equalAverage="0" bottom="0" percent="0" rank="0" text="a montar" dxfId="91">
      <formula>NOT(ISERROR(SEARCH("a montar",J1)))</formula>
    </cfRule>
    <cfRule type="containsText" priority="94" operator="containsText" aboveAverage="0" equalAverage="0" bottom="0" percent="0" rank="0" text="a serrar" dxfId="92">
      <formula>NOT(ISERROR(SEARCH("a serrar",J1)))</formula>
    </cfRule>
    <cfRule type="containsText" priority="95" operator="containsText" aboveAverage="0" equalAverage="0" bottom="0" percent="0" rank="0" text="pronto" dxfId="93">
      <formula>NOT(ISERROR(SEARCH("pronto",J1)))</formula>
    </cfRule>
    <cfRule type="containsText" priority="96" operator="containsText" aboveAverage="0" equalAverage="0" bottom="0" percent="0" rank="0" text="empreita" dxfId="94">
      <formula>NOT(ISERROR(SEARCH("empreita",J1)))</formula>
    </cfRule>
    <cfRule type="containsText" priority="97" operator="containsText" aboveAverage="0" equalAverage="0" bottom="0" percent="0" rank="0" text="previsto" dxfId="95">
      <formula>NOT(ISERROR(SEARCH("previsto",J1)))</formula>
    </cfRule>
    <cfRule type="containsText" priority="98" operator="containsText" aboveAverage="0" equalAverage="0" bottom="0" percent="0" rank="0" text="produzindo" dxfId="96">
      <formula>NOT(ISERROR(SEARCH("produzindo",J1)))</formula>
    </cfRule>
    <cfRule type="containsText" priority="99" operator="containsText" aboveAverage="0" equalAverage="0" bottom="0" percent="0" rank="0" text="material ok" dxfId="97">
      <formula>NOT(ISERROR(SEARCH("material ok",J1)))</formula>
    </cfRule>
  </conditionalFormatting>
  <conditionalFormatting sqref="N57 N59:N75 N77 N79:N90 N105:N146">
    <cfRule type="containsText" priority="100" operator="containsText" aboveAverage="0" equalAverage="0" bottom="0" percent="0" rank="0" text="a montar" dxfId="98">
      <formula>NOT(ISERROR(SEARCH("a montar",N57)))</formula>
    </cfRule>
    <cfRule type="containsText" priority="101" operator="containsText" aboveAverage="0" equalAverage="0" bottom="0" percent="0" rank="0" text="a serrar" dxfId="99">
      <formula>NOT(ISERROR(SEARCH("a serrar",N57)))</formula>
    </cfRule>
    <cfRule type="containsText" priority="102" operator="containsText" aboveAverage="0" equalAverage="0" bottom="0" percent="0" rank="0" text="pronto" dxfId="100">
      <formula>NOT(ISERROR(SEARCH("pronto",N57)))</formula>
    </cfRule>
    <cfRule type="containsText" priority="103" operator="containsText" aboveAverage="0" equalAverage="0" bottom="0" percent="0" rank="0" text="empreita" dxfId="101">
      <formula>NOT(ISERROR(SEARCH("empreita",N57)))</formula>
    </cfRule>
    <cfRule type="containsText" priority="104" operator="containsText" aboveAverage="0" equalAverage="0" bottom="0" percent="0" rank="0" text="previsto" dxfId="102">
      <formula>NOT(ISERROR(SEARCH("previsto",N57)))</formula>
    </cfRule>
    <cfRule type="containsText" priority="105" operator="containsText" aboveAverage="0" equalAverage="0" bottom="0" percent="0" rank="0" text="produzindo" dxfId="103">
      <formula>NOT(ISERROR(SEARCH("produzindo",N57)))</formula>
    </cfRule>
    <cfRule type="containsText" priority="106" operator="containsText" aboveAverage="0" equalAverage="0" bottom="0" percent="0" rank="0" text="material ok" dxfId="104">
      <formula>NOT(ISERROR(SEARCH("material ok",N57)))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71" activeCellId="0" sqref="K7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3" min="2" style="0" width="16"/>
    <col collapsed="false" customWidth="true" hidden="false" outlineLevel="0" max="4" min="4" style="0" width="7.15"/>
    <col collapsed="false" customWidth="true" hidden="false" outlineLevel="0" max="5" min="5" style="0" width="20.14"/>
    <col collapsed="false" customWidth="true" hidden="false" outlineLevel="0" max="6" min="6" style="0" width="9.57"/>
    <col collapsed="false" customWidth="true" hidden="false" outlineLevel="0" max="7" min="7" style="0" width="12"/>
    <col collapsed="false" customWidth="true" hidden="false" outlineLevel="0" max="9" min="9" style="0" width="7.43"/>
    <col collapsed="false" customWidth="true" hidden="false" outlineLevel="0" max="10" min="10" style="0" width="6.29"/>
    <col collapsed="false" customWidth="true" hidden="false" outlineLevel="0" max="11" min="11" style="0" width="14.14"/>
    <col collapsed="false" customWidth="true" hidden="false" outlineLevel="0" max="12" min="12" style="0" width="8.43"/>
    <col collapsed="false" customWidth="true" hidden="false" outlineLevel="0" max="13" min="13" style="0" width="15.43"/>
    <col collapsed="false" customWidth="true" hidden="false" outlineLevel="0" max="14" min="14" style="0" width="10.86"/>
    <col collapsed="false" customWidth="true" hidden="false" outlineLevel="0" max="15" min="15" style="0" width="14"/>
    <col collapsed="false" customWidth="true" hidden="false" outlineLevel="0" max="16" min="16" style="0" width="12.86"/>
    <col collapsed="false" customWidth="true" hidden="false" outlineLevel="0" max="18" min="18" style="0" width="13.57"/>
  </cols>
  <sheetData>
    <row r="1" customFormat="false" ht="16.4" hidden="false" customHeight="false" outlineLevel="0" collapsed="false">
      <c r="A1" s="1"/>
      <c r="C1" s="2"/>
      <c r="D1" s="1"/>
      <c r="F1" s="1"/>
      <c r="G1" s="1"/>
      <c r="H1" s="1"/>
      <c r="I1" s="1"/>
      <c r="J1" s="3" t="s">
        <v>0</v>
      </c>
      <c r="K1" s="4" t="s">
        <v>1</v>
      </c>
      <c r="L1" s="5" t="s">
        <v>2</v>
      </c>
      <c r="M1" s="6" t="s">
        <v>3</v>
      </c>
      <c r="N1" s="3" t="s">
        <v>4</v>
      </c>
      <c r="O1" s="7" t="s">
        <v>5</v>
      </c>
      <c r="P1" s="8" t="s">
        <v>6</v>
      </c>
      <c r="Q1" s="9" t="s">
        <v>3</v>
      </c>
      <c r="R1" s="10"/>
      <c r="S1" s="11"/>
    </row>
    <row r="2" customFormat="false" ht="15" hidden="false" customHeight="false" outlineLevel="0" collapsed="false">
      <c r="A2" s="1"/>
      <c r="C2" s="2"/>
      <c r="D2" s="1"/>
      <c r="F2" s="1"/>
      <c r="G2" s="1"/>
      <c r="H2" s="1"/>
      <c r="I2" s="1"/>
      <c r="J2" s="1"/>
      <c r="K2" s="12"/>
      <c r="L2" s="13"/>
      <c r="M2" s="14"/>
      <c r="N2" s="15"/>
      <c r="O2" s="10"/>
      <c r="P2" s="1"/>
      <c r="Q2" s="11"/>
      <c r="R2" s="10"/>
      <c r="S2" s="11"/>
    </row>
    <row r="3" customFormat="false" ht="16.4" hidden="false" customHeight="false" outlineLevel="0" collapsed="false">
      <c r="A3" s="16" t="s">
        <v>7</v>
      </c>
      <c r="B3" s="16" t="s">
        <v>8</v>
      </c>
      <c r="C3" s="16" t="s">
        <v>9</v>
      </c>
      <c r="D3" s="16"/>
      <c r="E3" s="16" t="s">
        <v>10</v>
      </c>
      <c r="F3" s="16" t="s">
        <v>11</v>
      </c>
      <c r="G3" s="16" t="s">
        <v>12</v>
      </c>
      <c r="H3" s="17" t="s">
        <v>13</v>
      </c>
      <c r="I3" s="16" t="s">
        <v>14</v>
      </c>
      <c r="J3" s="16" t="s">
        <v>15</v>
      </c>
      <c r="K3" s="16" t="s">
        <v>16</v>
      </c>
      <c r="L3" s="18" t="s">
        <v>17</v>
      </c>
      <c r="M3" s="18" t="s">
        <v>18</v>
      </c>
      <c r="N3" s="19" t="s">
        <v>19</v>
      </c>
      <c r="O3" s="18"/>
      <c r="P3" s="16" t="s">
        <v>20</v>
      </c>
      <c r="Q3" s="20"/>
      <c r="R3" s="21"/>
      <c r="S3" s="16" t="s">
        <v>21</v>
      </c>
    </row>
    <row r="4" customFormat="false" ht="15" hidden="false" customHeight="false" outlineLevel="0" collapsed="false">
      <c r="F4" s="1"/>
    </row>
    <row r="5" customFormat="false" ht="16.4" hidden="false" customHeight="false" outlineLevel="0" collapsed="false">
      <c r="A5" s="1" t="n">
        <v>6077</v>
      </c>
      <c r="B5" s="0" t="s">
        <v>69</v>
      </c>
      <c r="C5" s="0" t="s">
        <v>84</v>
      </c>
      <c r="D5" s="1" t="s">
        <v>24</v>
      </c>
      <c r="E5" s="0" t="s">
        <v>85</v>
      </c>
      <c r="F5" s="1" t="n">
        <v>0.53</v>
      </c>
      <c r="G5" s="1" t="n">
        <v>0.53</v>
      </c>
      <c r="H5" s="1" t="n">
        <f aca="false">-((G5*100/F5)-100)</f>
        <v>-0</v>
      </c>
      <c r="I5" s="1" t="n">
        <v>145</v>
      </c>
      <c r="J5" s="1" t="n">
        <f aca="false">(F5-G5)*I5</f>
        <v>0</v>
      </c>
      <c r="K5" s="1" t="n">
        <f aca="false">G5*I5</f>
        <v>76.85</v>
      </c>
      <c r="M5" s="32" t="n">
        <v>533</v>
      </c>
      <c r="N5" s="3" t="s">
        <v>4</v>
      </c>
      <c r="O5" s="10" t="n">
        <v>533</v>
      </c>
      <c r="P5" s="0" t="s">
        <v>26</v>
      </c>
      <c r="R5" s="10" t="n">
        <f aca="false">(O5-L5)/G5</f>
        <v>1005.66037735849</v>
      </c>
    </row>
    <row r="6" customFormat="false" ht="16.4" hidden="false" customHeight="false" outlineLevel="0" collapsed="false">
      <c r="A6" s="1" t="n">
        <v>6077</v>
      </c>
      <c r="B6" s="0" t="s">
        <v>69</v>
      </c>
      <c r="C6" s="0" t="s">
        <v>51</v>
      </c>
      <c r="D6" s="1" t="s">
        <v>53</v>
      </c>
      <c r="E6" s="0" t="s">
        <v>74</v>
      </c>
      <c r="F6" s="1" t="n">
        <v>1.44</v>
      </c>
      <c r="G6" s="1" t="n">
        <v>1.44</v>
      </c>
      <c r="H6" s="1" t="n">
        <f aca="false">-((G6*100/F6)-100)</f>
        <v>-0</v>
      </c>
      <c r="I6" s="1" t="n">
        <v>700</v>
      </c>
      <c r="J6" s="1" t="n">
        <f aca="false">(F6-G6)*I6</f>
        <v>0</v>
      </c>
      <c r="K6" s="1" t="n">
        <f aca="false">G6*I6</f>
        <v>1008</v>
      </c>
      <c r="M6" s="32" t="n">
        <v>2263</v>
      </c>
      <c r="N6" s="3" t="s">
        <v>4</v>
      </c>
      <c r="O6" s="10" t="n">
        <v>2263</v>
      </c>
      <c r="P6" s="0" t="s">
        <v>29</v>
      </c>
      <c r="R6" s="10" t="n">
        <f aca="false">(O6-L6)/G6</f>
        <v>1571.52777777778</v>
      </c>
    </row>
    <row r="7" customFormat="false" ht="16.4" hidden="false" customHeight="false" outlineLevel="0" collapsed="false">
      <c r="A7" s="1" t="n">
        <v>6077</v>
      </c>
      <c r="B7" s="0" t="s">
        <v>69</v>
      </c>
      <c r="C7" s="0" t="s">
        <v>86</v>
      </c>
      <c r="D7" s="1" t="s">
        <v>24</v>
      </c>
      <c r="E7" s="0" t="s">
        <v>85</v>
      </c>
      <c r="F7" s="1" t="n">
        <v>8.75</v>
      </c>
      <c r="G7" s="1" t="n">
        <v>8.75</v>
      </c>
      <c r="H7" s="1" t="n">
        <f aca="false">-((G7*100/F7)-100)</f>
        <v>-0</v>
      </c>
      <c r="I7" s="1" t="n">
        <v>145</v>
      </c>
      <c r="J7" s="1" t="n">
        <f aca="false">(F7-G7)*I7</f>
        <v>0</v>
      </c>
      <c r="K7" s="1" t="n">
        <f aca="false">G7*I7</f>
        <v>1268.75</v>
      </c>
      <c r="M7" s="32" t="n">
        <v>8804</v>
      </c>
      <c r="N7" s="3" t="s">
        <v>4</v>
      </c>
      <c r="O7" s="10" t="n">
        <v>8804</v>
      </c>
      <c r="P7" s="0" t="s">
        <v>26</v>
      </c>
      <c r="R7" s="10" t="n">
        <f aca="false">(O7-L7)/G7</f>
        <v>1006.17142857143</v>
      </c>
    </row>
    <row r="8" customFormat="false" ht="16.4" hidden="false" customHeight="false" outlineLevel="0" collapsed="false">
      <c r="A8" s="1" t="n">
        <v>6077</v>
      </c>
      <c r="B8" s="0" t="s">
        <v>69</v>
      </c>
      <c r="C8" s="0" t="s">
        <v>87</v>
      </c>
      <c r="D8" s="1" t="s">
        <v>24</v>
      </c>
      <c r="E8" s="0" t="s">
        <v>85</v>
      </c>
      <c r="F8" s="1" t="n">
        <v>0.62</v>
      </c>
      <c r="G8" s="1" t="n">
        <v>0.62</v>
      </c>
      <c r="H8" s="1" t="n">
        <f aca="false">-((G8*100/F8)-100)</f>
        <v>-0</v>
      </c>
      <c r="I8" s="1" t="n">
        <v>145</v>
      </c>
      <c r="J8" s="1" t="n">
        <f aca="false">(F8-G8)*I8</f>
        <v>0</v>
      </c>
      <c r="K8" s="1" t="n">
        <f aca="false">G8*I8</f>
        <v>89.9</v>
      </c>
      <c r="M8" s="32" t="n">
        <v>624</v>
      </c>
      <c r="N8" s="3" t="s">
        <v>4</v>
      </c>
      <c r="O8" s="10" t="n">
        <v>624</v>
      </c>
      <c r="P8" s="0" t="s">
        <v>29</v>
      </c>
      <c r="R8" s="10" t="n">
        <f aca="false">(O8-L8)/G8</f>
        <v>1006.45161290323</v>
      </c>
    </row>
    <row r="9" customFormat="false" ht="15" hidden="false" customHeight="false" outlineLevel="0" collapsed="false">
      <c r="A9" s="1"/>
      <c r="D9" s="1"/>
      <c r="F9" s="1"/>
      <c r="G9" s="1"/>
      <c r="H9" s="1"/>
      <c r="I9" s="1"/>
      <c r="J9" s="1"/>
      <c r="K9" s="1" t="n">
        <f aca="false">G9*I9</f>
        <v>0</v>
      </c>
      <c r="M9" s="23"/>
      <c r="N9" s="3"/>
      <c r="O9" s="23"/>
      <c r="R9" s="10"/>
    </row>
    <row r="10" customFormat="false" ht="16.4" hidden="false" customHeight="false" outlineLevel="0" collapsed="false">
      <c r="A10" s="1" t="n">
        <v>6096</v>
      </c>
      <c r="B10" s="0" t="s">
        <v>88</v>
      </c>
      <c r="C10" s="0" t="s">
        <v>89</v>
      </c>
      <c r="D10" s="1" t="s">
        <v>37</v>
      </c>
      <c r="E10" s="0" t="s">
        <v>38</v>
      </c>
      <c r="F10" s="1" t="n">
        <v>0.59</v>
      </c>
      <c r="G10" s="1" t="n">
        <v>0.59</v>
      </c>
      <c r="H10" s="1" t="n">
        <f aca="false">-((G10*100/F10)-100)</f>
        <v>-0</v>
      </c>
      <c r="I10" s="1" t="n">
        <v>381</v>
      </c>
      <c r="J10" s="1" t="n">
        <f aca="false">(F10-G10)*I10</f>
        <v>0</v>
      </c>
      <c r="K10" s="1" t="n">
        <f aca="false">G10*I10</f>
        <v>224.79</v>
      </c>
      <c r="M10" s="23" t="n">
        <v>917</v>
      </c>
      <c r="N10" s="3" t="s">
        <v>4</v>
      </c>
      <c r="O10" s="23" t="n">
        <v>917</v>
      </c>
      <c r="P10" s="0" t="s">
        <v>29</v>
      </c>
      <c r="R10" s="10" t="n">
        <f aca="false">(O10-L10)/G10</f>
        <v>1554.23728813559</v>
      </c>
    </row>
    <row r="11" customFormat="false" ht="16.4" hidden="false" customHeight="false" outlineLevel="0" collapsed="false">
      <c r="A11" s="1" t="n">
        <v>6096</v>
      </c>
      <c r="B11" s="0" t="s">
        <v>88</v>
      </c>
      <c r="C11" s="0" t="s">
        <v>90</v>
      </c>
      <c r="D11" s="1" t="s">
        <v>37</v>
      </c>
      <c r="E11" s="0" t="s">
        <v>38</v>
      </c>
      <c r="F11" s="1" t="n">
        <v>0.59</v>
      </c>
      <c r="G11" s="1" t="n">
        <v>0.59</v>
      </c>
      <c r="H11" s="1" t="n">
        <f aca="false">-((G11*100/F11)-100)</f>
        <v>-0</v>
      </c>
      <c r="I11" s="1" t="n">
        <v>381</v>
      </c>
      <c r="J11" s="1" t="n">
        <f aca="false">(F11-G11)*I11</f>
        <v>0</v>
      </c>
      <c r="K11" s="1" t="n">
        <f aca="false">G11*I11</f>
        <v>224.79</v>
      </c>
      <c r="M11" s="23" t="n">
        <v>917</v>
      </c>
      <c r="N11" s="3" t="s">
        <v>4</v>
      </c>
      <c r="O11" s="23" t="n">
        <v>917</v>
      </c>
      <c r="P11" s="0" t="s">
        <v>29</v>
      </c>
      <c r="R11" s="10" t="n">
        <f aca="false">(O11-L11)/G11</f>
        <v>1554.23728813559</v>
      </c>
    </row>
    <row r="12" customFormat="false" ht="15" hidden="false" customHeight="false" outlineLevel="0" collapsed="false">
      <c r="A12" s="1"/>
      <c r="D12" s="1"/>
      <c r="F12" s="1"/>
      <c r="G12" s="1"/>
      <c r="H12" s="1"/>
      <c r="J12" s="1"/>
      <c r="K12" s="1" t="n">
        <f aca="false">G12*I12</f>
        <v>0</v>
      </c>
      <c r="M12" s="23"/>
      <c r="N12" s="3"/>
      <c r="O12" s="23"/>
      <c r="R12" s="10"/>
    </row>
    <row r="13" customFormat="false" ht="16.4" hidden="false" customHeight="false" outlineLevel="0" collapsed="false">
      <c r="A13" s="1" t="n">
        <v>6098</v>
      </c>
      <c r="B13" s="0" t="s">
        <v>91</v>
      </c>
      <c r="C13" s="0" t="s">
        <v>42</v>
      </c>
      <c r="D13" s="1" t="s">
        <v>53</v>
      </c>
      <c r="E13" s="0" t="s">
        <v>68</v>
      </c>
      <c r="F13" s="1" t="n">
        <v>5.37</v>
      </c>
      <c r="G13" s="1" t="n">
        <v>5.37</v>
      </c>
      <c r="H13" s="1" t="n">
        <f aca="false">-((G13*100/F13)-100)</f>
        <v>-0</v>
      </c>
      <c r="I13" s="1" t="n">
        <v>530</v>
      </c>
      <c r="J13" s="1" t="n">
        <f aca="false">(F13-G13)*I13</f>
        <v>0</v>
      </c>
      <c r="K13" s="1" t="n">
        <f aca="false">G13*I13</f>
        <v>2846.1</v>
      </c>
      <c r="M13" s="23" t="n">
        <v>7421</v>
      </c>
      <c r="N13" s="3" t="s">
        <v>4</v>
      </c>
      <c r="O13" s="23" t="n">
        <v>7421</v>
      </c>
      <c r="P13" s="0" t="s">
        <v>29</v>
      </c>
      <c r="R13" s="10" t="n">
        <f aca="false">(O13-L13)/G13</f>
        <v>1381.93668528864</v>
      </c>
    </row>
    <row r="14" customFormat="false" ht="16.4" hidden="false" customHeight="false" outlineLevel="0" collapsed="false">
      <c r="A14" s="1" t="n">
        <v>6098</v>
      </c>
      <c r="B14" s="0" t="s">
        <v>91</v>
      </c>
      <c r="C14" s="0" t="s">
        <v>92</v>
      </c>
      <c r="F14" s="1"/>
      <c r="G14" s="1"/>
      <c r="H14" s="1" t="e">
        <f aca="false">-((G14*100/F14)-100)</f>
        <v>#DIV/0!</v>
      </c>
      <c r="J14" s="1" t="n">
        <f aca="false">(F14-G14)*I14</f>
        <v>0</v>
      </c>
      <c r="K14" s="1" t="n">
        <f aca="false">G14*I14</f>
        <v>0</v>
      </c>
      <c r="M14" s="23" t="n">
        <v>1140</v>
      </c>
      <c r="N14" s="3" t="s">
        <v>4</v>
      </c>
      <c r="O14" s="23" t="n">
        <v>1140</v>
      </c>
      <c r="P14" s="0" t="s">
        <v>40</v>
      </c>
      <c r="R14" s="10" t="e">
        <f aca="false">(O14-L14)/G14</f>
        <v>#DIV/0!</v>
      </c>
    </row>
    <row r="15" customFormat="false" ht="16.4" hidden="false" customHeight="false" outlineLevel="0" collapsed="false">
      <c r="A15" s="1" t="n">
        <v>6098</v>
      </c>
      <c r="B15" s="0" t="s">
        <v>91</v>
      </c>
      <c r="C15" s="0" t="s">
        <v>56</v>
      </c>
      <c r="D15" s="1" t="s">
        <v>37</v>
      </c>
      <c r="E15" s="0" t="s">
        <v>93</v>
      </c>
      <c r="F15" s="1" t="n">
        <v>2.24</v>
      </c>
      <c r="G15" s="1" t="n">
        <v>2.25</v>
      </c>
      <c r="H15" s="1" t="n">
        <f aca="false">-((G15*100/F15)-100)</f>
        <v>-0.446428571428555</v>
      </c>
      <c r="I15" s="1" t="n">
        <v>450</v>
      </c>
      <c r="J15" s="1" t="n">
        <f aca="false">(F15-G15)*I15</f>
        <v>-4.4999999999999</v>
      </c>
      <c r="K15" s="1" t="n">
        <f aca="false">G15*I15</f>
        <v>1012.5</v>
      </c>
      <c r="M15" s="23" t="n">
        <v>3909</v>
      </c>
      <c r="N15" s="3" t="s">
        <v>4</v>
      </c>
      <c r="O15" s="23" t="n">
        <v>3909</v>
      </c>
      <c r="P15" s="0" t="s">
        <v>26</v>
      </c>
      <c r="R15" s="10" t="n">
        <f aca="false">(O15-L15)/G15</f>
        <v>1737.33333333333</v>
      </c>
    </row>
    <row r="16" customFormat="false" ht="15" hidden="false" customHeight="false" outlineLevel="0" collapsed="false">
      <c r="A16" s="1"/>
      <c r="D16" s="1"/>
      <c r="F16" s="1"/>
      <c r="G16" s="1"/>
      <c r="H16" s="1"/>
      <c r="J16" s="1"/>
      <c r="K16" s="1" t="n">
        <f aca="false">G16*I16</f>
        <v>0</v>
      </c>
      <c r="M16" s="23"/>
      <c r="N16" s="3"/>
      <c r="O16" s="23"/>
      <c r="R16" s="10"/>
    </row>
    <row r="17" customFormat="false" ht="16.4" hidden="false" customHeight="false" outlineLevel="0" collapsed="false">
      <c r="A17" s="1" t="n">
        <v>6083</v>
      </c>
      <c r="B17" s="0" t="s">
        <v>94</v>
      </c>
      <c r="C17" s="0" t="s">
        <v>59</v>
      </c>
      <c r="D17" s="1" t="s">
        <v>53</v>
      </c>
      <c r="E17" s="0" t="s">
        <v>95</v>
      </c>
      <c r="F17" s="1" t="n">
        <v>2.55</v>
      </c>
      <c r="G17" s="1" t="n">
        <v>2.55</v>
      </c>
      <c r="H17" s="1" t="n">
        <f aca="false">-((G17*100/F17)-100)</f>
        <v>-0</v>
      </c>
      <c r="I17" s="1" t="n">
        <v>580</v>
      </c>
      <c r="J17" s="1" t="n">
        <f aca="false">(F17-G17)*I17</f>
        <v>0</v>
      </c>
      <c r="K17" s="1" t="n">
        <f aca="false">G17*I17</f>
        <v>1479</v>
      </c>
      <c r="M17" s="23" t="n">
        <v>4968</v>
      </c>
      <c r="N17" s="3" t="s">
        <v>4</v>
      </c>
      <c r="O17" s="23" t="n">
        <v>4968</v>
      </c>
      <c r="P17" s="0" t="s">
        <v>29</v>
      </c>
      <c r="R17" s="10" t="n">
        <f aca="false">(O17-L17)/G17</f>
        <v>1948.23529411765</v>
      </c>
    </row>
    <row r="18" customFormat="false" ht="16.4" hidden="false" customHeight="false" outlineLevel="0" collapsed="false">
      <c r="A18" s="1" t="n">
        <v>6083</v>
      </c>
      <c r="B18" s="0" t="s">
        <v>94</v>
      </c>
      <c r="C18" s="0" t="s">
        <v>92</v>
      </c>
      <c r="F18" s="1"/>
      <c r="G18" s="1"/>
      <c r="H18" s="1" t="e">
        <f aca="false">-((G18*100/F18)-100)</f>
        <v>#DIV/0!</v>
      </c>
      <c r="I18" s="1"/>
      <c r="J18" s="1" t="n">
        <f aca="false">(F18-G18)*I18</f>
        <v>0</v>
      </c>
      <c r="K18" s="1" t="n">
        <f aca="false">G18*I18</f>
        <v>0</v>
      </c>
      <c r="M18" s="23" t="n">
        <v>1950</v>
      </c>
      <c r="N18" s="3" t="s">
        <v>4</v>
      </c>
      <c r="O18" s="23" t="n">
        <v>1950</v>
      </c>
      <c r="P18" s="0" t="s">
        <v>40</v>
      </c>
      <c r="R18" s="10" t="e">
        <f aca="false">(O18-L18)/G18</f>
        <v>#DIV/0!</v>
      </c>
    </row>
    <row r="19" customFormat="false" ht="15" hidden="false" customHeight="false" outlineLevel="0" collapsed="false">
      <c r="A19" s="1"/>
      <c r="D19" s="1"/>
      <c r="F19" s="1"/>
      <c r="G19" s="1"/>
      <c r="H19" s="1"/>
      <c r="J19" s="1"/>
      <c r="K19" s="1" t="n">
        <f aca="false">G19*I19</f>
        <v>0</v>
      </c>
      <c r="M19" s="23"/>
      <c r="N19" s="3"/>
      <c r="O19" s="23"/>
      <c r="R19" s="10"/>
    </row>
    <row r="20" customFormat="false" ht="16.4" hidden="false" customHeight="false" outlineLevel="0" collapsed="false">
      <c r="A20" s="1" t="n">
        <v>6097</v>
      </c>
      <c r="B20" s="0" t="s">
        <v>96</v>
      </c>
      <c r="C20" s="0" t="s">
        <v>97</v>
      </c>
      <c r="D20" s="1" t="s">
        <v>24</v>
      </c>
      <c r="E20" s="0" t="s">
        <v>85</v>
      </c>
      <c r="F20" s="1" t="n">
        <v>0.42</v>
      </c>
      <c r="G20" s="1" t="n">
        <v>0.42</v>
      </c>
      <c r="H20" s="1" t="n">
        <f aca="false">-((G20*100/F20)-100)</f>
        <v>-0</v>
      </c>
      <c r="I20" s="1" t="n">
        <v>145</v>
      </c>
      <c r="J20" s="1" t="n">
        <f aca="false">(F20-G20)*I20</f>
        <v>0</v>
      </c>
      <c r="K20" s="1" t="n">
        <f aca="false">G20*I20</f>
        <v>60.9</v>
      </c>
      <c r="M20" s="23" t="n">
        <v>462</v>
      </c>
      <c r="N20" s="3" t="s">
        <v>4</v>
      </c>
      <c r="O20" s="23" t="n">
        <v>462</v>
      </c>
      <c r="P20" s="0" t="s">
        <v>29</v>
      </c>
      <c r="R20" s="10" t="n">
        <f aca="false">(O20-L20)/G20</f>
        <v>1100</v>
      </c>
    </row>
    <row r="21" customFormat="false" ht="16.4" hidden="false" customHeight="false" outlineLevel="0" collapsed="false">
      <c r="A21" s="1" t="n">
        <v>6097</v>
      </c>
      <c r="B21" s="0" t="s">
        <v>96</v>
      </c>
      <c r="C21" s="0" t="s">
        <v>98</v>
      </c>
      <c r="D21" s="1" t="s">
        <v>24</v>
      </c>
      <c r="E21" s="0" t="s">
        <v>85</v>
      </c>
      <c r="F21" s="1" t="n">
        <v>0.65</v>
      </c>
      <c r="G21" s="1" t="n">
        <v>0.65</v>
      </c>
      <c r="H21" s="1" t="n">
        <f aca="false">-((G21*100/F21)-100)</f>
        <v>-0</v>
      </c>
      <c r="I21" s="1" t="n">
        <v>145</v>
      </c>
      <c r="J21" s="1" t="n">
        <f aca="false">(F21-G21)*I21</f>
        <v>0</v>
      </c>
      <c r="K21" s="1" t="n">
        <f aca="false">G21*I21</f>
        <v>94.25</v>
      </c>
      <c r="M21" s="23" t="n">
        <v>685</v>
      </c>
      <c r="N21" s="3" t="s">
        <v>4</v>
      </c>
      <c r="O21" s="23" t="n">
        <v>685</v>
      </c>
      <c r="P21" s="0" t="s">
        <v>29</v>
      </c>
      <c r="R21" s="10" t="n">
        <f aca="false">(O21-L21)/G21</f>
        <v>1053.84615384615</v>
      </c>
    </row>
    <row r="22" customFormat="false" ht="15" hidden="false" customHeight="false" outlineLevel="0" collapsed="false">
      <c r="A22" s="1"/>
      <c r="D22" s="1"/>
      <c r="F22" s="1"/>
      <c r="G22" s="1"/>
      <c r="H22" s="1"/>
      <c r="J22" s="1"/>
      <c r="K22" s="1" t="n">
        <f aca="false">G22*I22</f>
        <v>0</v>
      </c>
      <c r="M22" s="23"/>
      <c r="N22" s="3"/>
      <c r="O22" s="23"/>
      <c r="R22" s="10"/>
    </row>
    <row r="23" customFormat="false" ht="16.4" hidden="false" customHeight="false" outlineLevel="0" collapsed="false">
      <c r="A23" s="1" t="n">
        <v>6081</v>
      </c>
      <c r="B23" s="0" t="s">
        <v>44</v>
      </c>
      <c r="C23" s="0" t="s">
        <v>99</v>
      </c>
      <c r="D23" s="1"/>
      <c r="E23" s="0" t="s">
        <v>46</v>
      </c>
      <c r="F23" s="1" t="n">
        <v>10.74</v>
      </c>
      <c r="G23" s="1" t="n">
        <v>0</v>
      </c>
      <c r="H23" s="1" t="n">
        <f aca="false">-((G23*100/F23)-100)</f>
        <v>100</v>
      </c>
      <c r="I23" s="1"/>
      <c r="J23" s="1" t="n">
        <f aca="false">(F23-G23)*I23</f>
        <v>0</v>
      </c>
      <c r="K23" s="1" t="n">
        <f aca="false">G23*I23</f>
        <v>0</v>
      </c>
      <c r="M23" s="23" t="n">
        <v>7008</v>
      </c>
      <c r="N23" s="3" t="s">
        <v>4</v>
      </c>
      <c r="O23" s="23" t="n">
        <v>7008</v>
      </c>
      <c r="P23" s="0" t="s">
        <v>29</v>
      </c>
      <c r="R23" s="10" t="e">
        <f aca="false">(O23-L23)/G23</f>
        <v>#DIV/0!</v>
      </c>
    </row>
    <row r="24" customFormat="false" ht="16.4" hidden="false" customHeight="false" outlineLevel="0" collapsed="false">
      <c r="A24" s="1" t="n">
        <v>6081</v>
      </c>
      <c r="B24" s="0" t="s">
        <v>44</v>
      </c>
      <c r="C24" s="0" t="s">
        <v>100</v>
      </c>
      <c r="D24" s="1"/>
      <c r="F24" s="1"/>
      <c r="G24" s="1"/>
      <c r="H24" s="1" t="e">
        <f aca="false">-((G24*100/F24)-100)</f>
        <v>#DIV/0!</v>
      </c>
      <c r="I24" s="1"/>
      <c r="J24" s="1" t="n">
        <f aca="false">(F24-G24)*I24</f>
        <v>0</v>
      </c>
      <c r="K24" s="1" t="n">
        <f aca="false">G24*I24</f>
        <v>0</v>
      </c>
      <c r="M24" s="23" t="n">
        <v>741</v>
      </c>
      <c r="N24" s="3" t="s">
        <v>4</v>
      </c>
      <c r="O24" s="23" t="n">
        <v>741</v>
      </c>
      <c r="P24" s="0" t="s">
        <v>40</v>
      </c>
      <c r="R24" s="10" t="e">
        <f aca="false">(O24-L24)/G24</f>
        <v>#DIV/0!</v>
      </c>
    </row>
    <row r="25" customFormat="false" ht="15" hidden="false" customHeight="false" outlineLevel="0" collapsed="false">
      <c r="A25" s="1"/>
      <c r="D25" s="1"/>
      <c r="F25" s="1"/>
      <c r="G25" s="1"/>
      <c r="H25" s="1"/>
      <c r="J25" s="1"/>
      <c r="K25" s="1" t="n">
        <f aca="false">G25*I25</f>
        <v>0</v>
      </c>
      <c r="M25" s="23"/>
      <c r="N25" s="3"/>
      <c r="O25" s="23"/>
      <c r="R25" s="10"/>
    </row>
    <row r="26" customFormat="false" ht="16.4" hidden="false" customHeight="false" outlineLevel="0" collapsed="false">
      <c r="A26" s="1" t="n">
        <v>6093</v>
      </c>
      <c r="B26" s="0" t="s">
        <v>101</v>
      </c>
      <c r="C26" s="0" t="s">
        <v>59</v>
      </c>
      <c r="D26" s="1" t="s">
        <v>37</v>
      </c>
      <c r="E26" s="0" t="s">
        <v>102</v>
      </c>
      <c r="F26" s="1" t="n">
        <v>3.8</v>
      </c>
      <c r="G26" s="1" t="n">
        <v>3.8</v>
      </c>
      <c r="H26" s="1" t="n">
        <f aca="false">-((G26*100/F26)-100)</f>
        <v>-0</v>
      </c>
      <c r="I26" s="1" t="n">
        <v>392</v>
      </c>
      <c r="J26" s="1" t="n">
        <f aca="false">(F26-G26)*I26</f>
        <v>0</v>
      </c>
      <c r="K26" s="1" t="n">
        <f aca="false">G26*I26</f>
        <v>1489.6</v>
      </c>
      <c r="M26" s="23" t="n">
        <v>4492</v>
      </c>
      <c r="N26" s="3" t="s">
        <v>4</v>
      </c>
      <c r="O26" s="23" t="n">
        <v>4492</v>
      </c>
      <c r="P26" s="0" t="s">
        <v>29</v>
      </c>
      <c r="R26" s="10" t="n">
        <f aca="false">(O26-L26)/G26</f>
        <v>1182.10526315789</v>
      </c>
    </row>
    <row r="27" customFormat="false" ht="16.4" hidden="false" customHeight="false" outlineLevel="0" collapsed="false">
      <c r="A27" s="1" t="n">
        <v>6091</v>
      </c>
      <c r="B27" s="0" t="s">
        <v>101</v>
      </c>
      <c r="C27" s="0" t="s">
        <v>103</v>
      </c>
      <c r="D27" s="1" t="s">
        <v>37</v>
      </c>
      <c r="E27" s="0" t="s">
        <v>102</v>
      </c>
      <c r="F27" s="1" t="n">
        <v>4.41</v>
      </c>
      <c r="G27" s="1" t="n">
        <v>4.41</v>
      </c>
      <c r="H27" s="1" t="n">
        <f aca="false">-((G27*100/F27)-100)</f>
        <v>-0</v>
      </c>
      <c r="I27" s="1" t="n">
        <v>392</v>
      </c>
      <c r="J27" s="1" t="n">
        <f aca="false">(F27-G27)*I27</f>
        <v>0</v>
      </c>
      <c r="K27" s="1" t="n">
        <f aca="false">G27*I27</f>
        <v>1728.72</v>
      </c>
      <c r="M27" s="23" t="n">
        <v>6431</v>
      </c>
      <c r="N27" s="3" t="s">
        <v>4</v>
      </c>
      <c r="O27" s="23" t="n">
        <v>6431</v>
      </c>
      <c r="P27" s="0" t="s">
        <v>29</v>
      </c>
      <c r="R27" s="10" t="n">
        <f aca="false">(O27-L27)/G27</f>
        <v>1458.27664399093</v>
      </c>
    </row>
    <row r="28" customFormat="false" ht="16.4" hidden="false" customHeight="false" outlineLevel="0" collapsed="false">
      <c r="A28" s="1" t="n">
        <v>6091</v>
      </c>
      <c r="B28" s="0" t="s">
        <v>101</v>
      </c>
      <c r="C28" s="0" t="s">
        <v>104</v>
      </c>
      <c r="D28" s="1" t="s">
        <v>37</v>
      </c>
      <c r="E28" s="0" t="s">
        <v>102</v>
      </c>
      <c r="F28" s="1" t="n">
        <v>1.54</v>
      </c>
      <c r="G28" s="1" t="n">
        <v>1.54</v>
      </c>
      <c r="H28" s="1" t="n">
        <f aca="false">-((G28*100/F28)-100)</f>
        <v>-0</v>
      </c>
      <c r="I28" s="1" t="n">
        <v>392</v>
      </c>
      <c r="J28" s="1" t="n">
        <f aca="false">(F28-G28)*I28</f>
        <v>0</v>
      </c>
      <c r="K28" s="1" t="n">
        <f aca="false">G28*I28</f>
        <v>603.68</v>
      </c>
      <c r="M28" s="23" t="n">
        <v>2390</v>
      </c>
      <c r="N28" s="3" t="s">
        <v>4</v>
      </c>
      <c r="O28" s="23" t="n">
        <v>2390</v>
      </c>
      <c r="P28" s="0" t="s">
        <v>29</v>
      </c>
      <c r="R28" s="10" t="n">
        <f aca="false">(O28-L28)/G28</f>
        <v>1551.94805194805</v>
      </c>
    </row>
    <row r="29" customFormat="false" ht="15" hidden="false" customHeight="false" outlineLevel="0" collapsed="false">
      <c r="A29" s="1"/>
      <c r="D29" s="1"/>
      <c r="F29" s="1"/>
      <c r="G29" s="1"/>
      <c r="H29" s="1"/>
      <c r="J29" s="1"/>
      <c r="K29" s="1" t="n">
        <f aca="false">G29*I29</f>
        <v>0</v>
      </c>
      <c r="M29" s="23"/>
      <c r="N29" s="3"/>
      <c r="O29" s="23"/>
      <c r="R29" s="10"/>
    </row>
    <row r="30" customFormat="false" ht="16.4" hidden="false" customHeight="false" outlineLevel="0" collapsed="false">
      <c r="A30" s="1" t="n">
        <v>6090</v>
      </c>
      <c r="B30" s="0" t="s">
        <v>105</v>
      </c>
      <c r="C30" s="0" t="s">
        <v>55</v>
      </c>
      <c r="D30" s="1" t="s">
        <v>53</v>
      </c>
      <c r="E30" s="0" t="s">
        <v>106</v>
      </c>
      <c r="F30" s="1" t="n">
        <v>7.05</v>
      </c>
      <c r="G30" s="1" t="n">
        <v>7.05</v>
      </c>
      <c r="H30" s="1" t="n">
        <f aca="false">-((G30*100/F30)-100)</f>
        <v>-0</v>
      </c>
      <c r="I30" s="1" t="n">
        <v>677</v>
      </c>
      <c r="J30" s="1" t="n">
        <f aca="false">(F30-G30)*I30</f>
        <v>0</v>
      </c>
      <c r="K30" s="1" t="n">
        <f aca="false">G30*I30</f>
        <v>4772.85</v>
      </c>
      <c r="M30" s="23" t="n">
        <v>14235</v>
      </c>
      <c r="N30" s="3" t="s">
        <v>4</v>
      </c>
      <c r="O30" s="23" t="n">
        <v>14235</v>
      </c>
      <c r="P30" s="0" t="s">
        <v>26</v>
      </c>
      <c r="R30" s="10" t="n">
        <f aca="false">(O30-L30)/G30</f>
        <v>2019.14893617021</v>
      </c>
    </row>
    <row r="31" customFormat="false" ht="16.4" hidden="false" customHeight="false" outlineLevel="0" collapsed="false">
      <c r="A31" s="1" t="n">
        <v>6090</v>
      </c>
      <c r="B31" s="0" t="s">
        <v>105</v>
      </c>
      <c r="C31" s="0" t="s">
        <v>42</v>
      </c>
      <c r="D31" s="1" t="s">
        <v>53</v>
      </c>
      <c r="E31" s="0" t="s">
        <v>106</v>
      </c>
      <c r="F31" s="1" t="n">
        <v>1.33</v>
      </c>
      <c r="G31" s="1" t="n">
        <v>1.33</v>
      </c>
      <c r="H31" s="1" t="n">
        <f aca="false">-((G31*100/F31)-100)</f>
        <v>-0</v>
      </c>
      <c r="I31" s="1" t="n">
        <v>677</v>
      </c>
      <c r="J31" s="1" t="n">
        <f aca="false">(F31-G31)*I31</f>
        <v>0</v>
      </c>
      <c r="K31" s="1" t="n">
        <f aca="false">G31*I31</f>
        <v>900.41</v>
      </c>
      <c r="M31" s="23" t="n">
        <v>2735</v>
      </c>
      <c r="N31" s="3" t="s">
        <v>4</v>
      </c>
      <c r="O31" s="23" t="n">
        <v>2735</v>
      </c>
      <c r="P31" s="0" t="s">
        <v>29</v>
      </c>
      <c r="R31" s="10" t="n">
        <f aca="false">(O31-L31)/G31</f>
        <v>2056.39097744361</v>
      </c>
    </row>
    <row r="32" customFormat="false" ht="16.4" hidden="false" customHeight="false" outlineLevel="0" collapsed="false">
      <c r="A32" s="1" t="n">
        <v>6090</v>
      </c>
      <c r="B32" s="0" t="s">
        <v>105</v>
      </c>
      <c r="C32" s="0" t="s">
        <v>107</v>
      </c>
      <c r="D32" s="1" t="s">
        <v>53</v>
      </c>
      <c r="E32" s="0" t="s">
        <v>68</v>
      </c>
      <c r="F32" s="1" t="n">
        <v>0.13</v>
      </c>
      <c r="G32" s="1" t="n">
        <v>0.13</v>
      </c>
      <c r="H32" s="1" t="n">
        <f aca="false">-((G32*100/F32)-100)</f>
        <v>-0</v>
      </c>
      <c r="I32" s="1" t="n">
        <v>530</v>
      </c>
      <c r="J32" s="1" t="n">
        <f aca="false">(F32-G32)*I32</f>
        <v>0</v>
      </c>
      <c r="K32" s="1" t="n">
        <f aca="false">G32*I32</f>
        <v>68.9</v>
      </c>
      <c r="M32" s="23" t="n">
        <v>207</v>
      </c>
      <c r="N32" s="3" t="s">
        <v>4</v>
      </c>
      <c r="O32" s="23" t="n">
        <v>207</v>
      </c>
      <c r="P32" s="0" t="s">
        <v>29</v>
      </c>
      <c r="R32" s="10" t="n">
        <f aca="false">(O32-L32)/G32</f>
        <v>1592.30769230769</v>
      </c>
    </row>
    <row r="33" customFormat="false" ht="16.4" hidden="false" customHeight="false" outlineLevel="0" collapsed="false">
      <c r="A33" s="1" t="n">
        <v>6090</v>
      </c>
      <c r="B33" s="0" t="s">
        <v>105</v>
      </c>
      <c r="C33" s="0" t="s">
        <v>108</v>
      </c>
      <c r="D33" s="1"/>
      <c r="F33" s="1"/>
      <c r="G33" s="1"/>
      <c r="H33" s="1"/>
      <c r="I33" s="1"/>
      <c r="J33" s="1"/>
      <c r="K33" s="1" t="n">
        <f aca="false">G33*I33</f>
        <v>0</v>
      </c>
      <c r="M33" s="23" t="n">
        <v>1326</v>
      </c>
      <c r="N33" s="3" t="s">
        <v>4</v>
      </c>
      <c r="O33" s="23" t="n">
        <v>1326</v>
      </c>
      <c r="P33" s="0" t="s">
        <v>29</v>
      </c>
      <c r="R33" s="10" t="e">
        <f aca="false">(O33-L33)/G33</f>
        <v>#DIV/0!</v>
      </c>
    </row>
    <row r="34" customFormat="false" ht="15" hidden="false" customHeight="false" outlineLevel="0" collapsed="false">
      <c r="F34" s="1"/>
      <c r="G34" s="1"/>
      <c r="K34" s="1" t="n">
        <f aca="false">G34*I34</f>
        <v>0</v>
      </c>
      <c r="M34" s="23"/>
    </row>
    <row r="35" customFormat="false" ht="16.4" hidden="false" customHeight="false" outlineLevel="0" collapsed="false">
      <c r="A35" s="1" t="n">
        <v>6087</v>
      </c>
      <c r="B35" s="0" t="s">
        <v>109</v>
      </c>
      <c r="C35" s="0" t="s">
        <v>110</v>
      </c>
      <c r="D35" s="1" t="s">
        <v>53</v>
      </c>
      <c r="E35" s="0" t="s">
        <v>68</v>
      </c>
      <c r="F35" s="1" t="n">
        <v>29.9</v>
      </c>
      <c r="G35" s="1" t="n">
        <v>29.9</v>
      </c>
      <c r="H35" s="1" t="n">
        <f aca="false">-((G35*100/F35)-100)</f>
        <v>-0</v>
      </c>
      <c r="I35" s="1" t="n">
        <v>530</v>
      </c>
      <c r="J35" s="1" t="n">
        <f aca="false">(F35-G35)*I35</f>
        <v>0</v>
      </c>
      <c r="K35" s="1" t="n">
        <f aca="false">G35*I35</f>
        <v>15847</v>
      </c>
      <c r="M35" s="23" t="n">
        <v>40000</v>
      </c>
      <c r="N35" s="3" t="s">
        <v>4</v>
      </c>
      <c r="O35" s="23" t="n">
        <v>40000</v>
      </c>
      <c r="P35" s="0" t="s">
        <v>29</v>
      </c>
      <c r="R35" s="10" t="n">
        <f aca="false">(O35-L35)/G35</f>
        <v>1337.79264214047</v>
      </c>
    </row>
    <row r="36" customFormat="false" ht="15" hidden="false" customHeight="false" outlineLevel="0" collapsed="false">
      <c r="F36" s="1"/>
      <c r="G36" s="1"/>
      <c r="K36" s="1" t="n">
        <f aca="false">G36*I36</f>
        <v>0</v>
      </c>
      <c r="M36" s="23"/>
    </row>
    <row r="37" customFormat="false" ht="16.4" hidden="false" customHeight="false" outlineLevel="0" collapsed="false">
      <c r="A37" s="1" t="n">
        <v>6080</v>
      </c>
      <c r="B37" s="0" t="s">
        <v>111</v>
      </c>
      <c r="C37" s="0" t="s">
        <v>55</v>
      </c>
      <c r="D37" s="1" t="s">
        <v>53</v>
      </c>
      <c r="E37" s="0" t="s">
        <v>54</v>
      </c>
      <c r="F37" s="1" t="n">
        <v>8.59</v>
      </c>
      <c r="G37" s="1" t="n">
        <v>8.59</v>
      </c>
      <c r="H37" s="1" t="n">
        <f aca="false">-((G37*100/F37)-100)</f>
        <v>-0</v>
      </c>
      <c r="I37" s="1" t="n">
        <v>730</v>
      </c>
      <c r="J37" s="1" t="n">
        <f aca="false">(F37-G37)*I37</f>
        <v>0</v>
      </c>
      <c r="K37" s="1" t="n">
        <f aca="false">G37*I37</f>
        <v>6270.7</v>
      </c>
      <c r="M37" s="23" t="n">
        <v>15911</v>
      </c>
      <c r="N37" s="3" t="s">
        <v>4</v>
      </c>
      <c r="O37" s="23" t="n">
        <v>15911</v>
      </c>
      <c r="P37" s="0" t="s">
        <v>26</v>
      </c>
      <c r="R37" s="10" t="n">
        <f aca="false">(O37-L37)/G37</f>
        <v>1852.2700814901</v>
      </c>
    </row>
    <row r="38" customFormat="false" ht="16.4" hidden="false" customHeight="false" outlineLevel="0" collapsed="false">
      <c r="A38" s="1" t="n">
        <v>6080</v>
      </c>
      <c r="B38" s="0" t="s">
        <v>111</v>
      </c>
      <c r="C38" s="0" t="s">
        <v>42</v>
      </c>
      <c r="D38" s="1" t="s">
        <v>53</v>
      </c>
      <c r="E38" s="0" t="s">
        <v>54</v>
      </c>
      <c r="F38" s="1" t="n">
        <v>4.63</v>
      </c>
      <c r="G38" s="1" t="n">
        <v>4.63</v>
      </c>
      <c r="H38" s="1" t="n">
        <f aca="false">-((G38*100/F38)-100)</f>
        <v>-0</v>
      </c>
      <c r="I38" s="1" t="n">
        <v>730</v>
      </c>
      <c r="J38" s="1" t="n">
        <f aca="false">(F38-G38)*I38</f>
        <v>0</v>
      </c>
      <c r="K38" s="1" t="n">
        <f aca="false">G38*I38</f>
        <v>3379.9</v>
      </c>
      <c r="M38" s="23" t="n">
        <v>8576</v>
      </c>
      <c r="N38" s="3" t="s">
        <v>4</v>
      </c>
      <c r="O38" s="23" t="n">
        <v>8576</v>
      </c>
      <c r="P38" s="0" t="s">
        <v>29</v>
      </c>
      <c r="R38" s="10" t="n">
        <f aca="false">(O38-L38)/G38</f>
        <v>1852.26781857451</v>
      </c>
    </row>
    <row r="39" customFormat="false" ht="15" hidden="false" customHeight="false" outlineLevel="0" collapsed="false">
      <c r="F39" s="1"/>
      <c r="G39" s="1"/>
      <c r="K39" s="1" t="n">
        <f aca="false">G39*I39</f>
        <v>0</v>
      </c>
      <c r="M39" s="23"/>
    </row>
    <row r="40" customFormat="false" ht="16.4" hidden="false" customHeight="false" outlineLevel="0" collapsed="false">
      <c r="A40" s="1" t="n">
        <v>6101</v>
      </c>
      <c r="B40" s="0" t="s">
        <v>112</v>
      </c>
      <c r="C40" s="0" t="s">
        <v>51</v>
      </c>
      <c r="D40" s="1" t="s">
        <v>53</v>
      </c>
      <c r="E40" s="0" t="s">
        <v>113</v>
      </c>
      <c r="F40" s="1" t="n">
        <v>0.92</v>
      </c>
      <c r="G40" s="1" t="n">
        <v>0.92</v>
      </c>
      <c r="H40" s="1" t="n">
        <f aca="false">-((G40*100/F40)-100)</f>
        <v>-0</v>
      </c>
      <c r="I40" s="1" t="n">
        <v>750</v>
      </c>
      <c r="J40" s="1" t="n">
        <f aca="false">(F40-G40)*I40</f>
        <v>0</v>
      </c>
      <c r="K40" s="1" t="n">
        <f aca="false">G40*I40</f>
        <v>690</v>
      </c>
      <c r="M40" s="23" t="n">
        <v>976</v>
      </c>
      <c r="N40" s="3" t="s">
        <v>4</v>
      </c>
      <c r="O40" s="23" t="n">
        <v>976</v>
      </c>
      <c r="P40" s="0" t="s">
        <v>29</v>
      </c>
      <c r="R40" s="10" t="n">
        <f aca="false">(O40-L40)/G40</f>
        <v>1060.86956521739</v>
      </c>
    </row>
    <row r="41" customFormat="false" ht="15" hidden="false" customHeight="false" outlineLevel="0" collapsed="false">
      <c r="A41" s="1"/>
      <c r="D41" s="1"/>
      <c r="F41" s="1"/>
      <c r="G41" s="1"/>
      <c r="H41" s="1"/>
      <c r="J41" s="1"/>
      <c r="K41" s="1" t="n">
        <f aca="false">G41*I41</f>
        <v>0</v>
      </c>
      <c r="M41" s="23"/>
      <c r="N41" s="3"/>
      <c r="O41" s="23"/>
      <c r="R41" s="10"/>
    </row>
    <row r="42" customFormat="false" ht="16.4" hidden="false" customHeight="false" outlineLevel="0" collapsed="false">
      <c r="A42" s="1" t="n">
        <v>6099</v>
      </c>
      <c r="B42" s="0" t="s">
        <v>114</v>
      </c>
      <c r="C42" s="0" t="s">
        <v>51</v>
      </c>
      <c r="D42" s="1" t="s">
        <v>37</v>
      </c>
      <c r="E42" s="0" t="s">
        <v>38</v>
      </c>
      <c r="F42" s="1" t="n">
        <v>0.81</v>
      </c>
      <c r="G42" s="1" t="n">
        <v>0.81</v>
      </c>
      <c r="H42" s="1" t="n">
        <f aca="false">-((G42*100/F42)-100)</f>
        <v>-0</v>
      </c>
      <c r="I42" s="1" t="n">
        <v>381</v>
      </c>
      <c r="J42" s="1" t="n">
        <f aca="false">(F42-G42)*I42</f>
        <v>0</v>
      </c>
      <c r="K42" s="1" t="n">
        <f aca="false">G42*I42</f>
        <v>308.61</v>
      </c>
      <c r="M42" s="23" t="n">
        <v>1336</v>
      </c>
      <c r="N42" s="3" t="s">
        <v>4</v>
      </c>
      <c r="O42" s="23" t="n">
        <v>1336</v>
      </c>
      <c r="P42" s="0" t="s">
        <v>29</v>
      </c>
      <c r="R42" s="10" t="n">
        <f aca="false">(O42-L42)/G42</f>
        <v>1649.38271604938</v>
      </c>
    </row>
    <row r="43" customFormat="false" ht="16.4" hidden="false" customHeight="false" outlineLevel="0" collapsed="false">
      <c r="A43" s="1" t="n">
        <v>6099</v>
      </c>
      <c r="B43" s="0" t="s">
        <v>114</v>
      </c>
      <c r="C43" s="0" t="s">
        <v>115</v>
      </c>
      <c r="D43" s="1" t="s">
        <v>37</v>
      </c>
      <c r="E43" s="0" t="s">
        <v>38</v>
      </c>
      <c r="F43" s="1" t="n">
        <v>0.84</v>
      </c>
      <c r="G43" s="1" t="n">
        <v>0.84</v>
      </c>
      <c r="H43" s="1" t="n">
        <f aca="false">-((G43*100/F43)-100)</f>
        <v>-0</v>
      </c>
      <c r="I43" s="1" t="n">
        <v>381</v>
      </c>
      <c r="J43" s="1" t="n">
        <f aca="false">(F43-G43)*I43</f>
        <v>0</v>
      </c>
      <c r="K43" s="1" t="n">
        <f aca="false">G43*I43</f>
        <v>320.04</v>
      </c>
      <c r="M43" s="23" t="n">
        <v>1385</v>
      </c>
      <c r="N43" s="3" t="s">
        <v>4</v>
      </c>
      <c r="O43" s="23" t="n">
        <v>1385</v>
      </c>
      <c r="P43" s="0" t="s">
        <v>29</v>
      </c>
      <c r="R43" s="10" t="n">
        <f aca="false">(O43-L43)/G43</f>
        <v>1648.80952380952</v>
      </c>
    </row>
    <row r="44" customFormat="false" ht="16.4" hidden="false" customHeight="false" outlineLevel="0" collapsed="false">
      <c r="A44" s="1" t="n">
        <v>6099</v>
      </c>
      <c r="B44" s="0" t="s">
        <v>114</v>
      </c>
      <c r="C44" s="0" t="s">
        <v>57</v>
      </c>
      <c r="D44" s="1" t="s">
        <v>37</v>
      </c>
      <c r="E44" s="0" t="s">
        <v>38</v>
      </c>
      <c r="F44" s="1" t="n">
        <v>1.05</v>
      </c>
      <c r="G44" s="1" t="n">
        <v>1.05</v>
      </c>
      <c r="H44" s="1" t="n">
        <f aca="false">-((G44*100/F44)-100)</f>
        <v>-0</v>
      </c>
      <c r="I44" s="1" t="n">
        <v>381</v>
      </c>
      <c r="J44" s="1" t="n">
        <f aca="false">(F44-G44)*I44</f>
        <v>0</v>
      </c>
      <c r="K44" s="1" t="n">
        <f aca="false">G44*I44</f>
        <v>400.05</v>
      </c>
      <c r="M44" s="23" t="n">
        <v>1590</v>
      </c>
      <c r="N44" s="3" t="s">
        <v>4</v>
      </c>
      <c r="O44" s="23" t="n">
        <v>1590</v>
      </c>
      <c r="P44" s="0" t="s">
        <v>29</v>
      </c>
      <c r="R44" s="10" t="n">
        <f aca="false">(O44-L44)/G44</f>
        <v>1514.28571428571</v>
      </c>
    </row>
    <row r="45" customFormat="false" ht="16.4" hidden="false" customHeight="false" outlineLevel="0" collapsed="false">
      <c r="A45" s="1" t="n">
        <v>6099</v>
      </c>
      <c r="B45" s="0" t="s">
        <v>114</v>
      </c>
      <c r="C45" s="0" t="s">
        <v>116</v>
      </c>
      <c r="D45" s="1" t="s">
        <v>37</v>
      </c>
      <c r="E45" s="0" t="s">
        <v>38</v>
      </c>
      <c r="F45" s="1" t="n">
        <v>0.89</v>
      </c>
      <c r="G45" s="1" t="n">
        <v>0.89</v>
      </c>
      <c r="H45" s="1" t="n">
        <f aca="false">-((G45*100/F45)-100)</f>
        <v>-0</v>
      </c>
      <c r="I45" s="1" t="n">
        <v>381</v>
      </c>
      <c r="J45" s="1" t="n">
        <f aca="false">(F45-G45)*I45</f>
        <v>0</v>
      </c>
      <c r="K45" s="1" t="n">
        <f aca="false">G45*I45</f>
        <v>339.09</v>
      </c>
      <c r="M45" s="23" t="n">
        <v>1468</v>
      </c>
      <c r="N45" s="3" t="s">
        <v>4</v>
      </c>
      <c r="O45" s="23" t="n">
        <v>1468</v>
      </c>
      <c r="P45" s="0" t="s">
        <v>29</v>
      </c>
      <c r="R45" s="10" t="n">
        <f aca="false">(O45-L45)/G45</f>
        <v>1649.43820224719</v>
      </c>
    </row>
    <row r="46" customFormat="false" ht="16.4" hidden="false" customHeight="false" outlineLevel="0" collapsed="false">
      <c r="A46" s="1" t="n">
        <v>6099</v>
      </c>
      <c r="B46" s="0" t="s">
        <v>114</v>
      </c>
      <c r="C46" s="0" t="s">
        <v>57</v>
      </c>
      <c r="D46" s="1" t="s">
        <v>37</v>
      </c>
      <c r="E46" s="0" t="s">
        <v>38</v>
      </c>
      <c r="F46" s="1" t="n">
        <v>1.01</v>
      </c>
      <c r="G46" s="1" t="n">
        <v>1.01</v>
      </c>
      <c r="H46" s="1" t="n">
        <f aca="false">-((G46*100/F46)-100)</f>
        <v>-0</v>
      </c>
      <c r="I46" s="1" t="n">
        <v>381</v>
      </c>
      <c r="J46" s="1" t="n">
        <f aca="false">(F46-G46)*I46</f>
        <v>0</v>
      </c>
      <c r="K46" s="1" t="n">
        <f aca="false">G46*I46</f>
        <v>384.81</v>
      </c>
      <c r="M46" s="23" t="n">
        <v>1530</v>
      </c>
      <c r="N46" s="3" t="s">
        <v>4</v>
      </c>
      <c r="O46" s="23" t="n">
        <v>1530</v>
      </c>
      <c r="P46" s="0" t="s">
        <v>29</v>
      </c>
      <c r="R46" s="10" t="n">
        <f aca="false">(O46-L46)/G46</f>
        <v>1514.85148514852</v>
      </c>
    </row>
    <row r="47" customFormat="false" ht="16.4" hidden="false" customHeight="false" outlineLevel="0" collapsed="false">
      <c r="A47" s="1" t="n">
        <v>6099</v>
      </c>
      <c r="B47" s="0" t="s">
        <v>114</v>
      </c>
      <c r="C47" s="0" t="s">
        <v>110</v>
      </c>
      <c r="D47" s="1" t="s">
        <v>37</v>
      </c>
      <c r="E47" s="0" t="s">
        <v>38</v>
      </c>
      <c r="F47" s="1" t="n">
        <v>11.27</v>
      </c>
      <c r="G47" s="1" t="n">
        <v>11.27</v>
      </c>
      <c r="H47" s="1" t="n">
        <f aca="false">-((G47*100/F47)-100)</f>
        <v>-0</v>
      </c>
      <c r="I47" s="1" t="n">
        <v>381</v>
      </c>
      <c r="J47" s="1" t="n">
        <f aca="false">(F47-G47)*I47</f>
        <v>0</v>
      </c>
      <c r="K47" s="1" t="n">
        <f aca="false">G47*I47</f>
        <v>4293.87</v>
      </c>
      <c r="M47" s="23" t="n">
        <v>15147</v>
      </c>
      <c r="N47" s="3" t="s">
        <v>4</v>
      </c>
      <c r="O47" s="23" t="n">
        <v>15147</v>
      </c>
      <c r="P47" s="0" t="s">
        <v>29</v>
      </c>
      <c r="R47" s="10" t="n">
        <f aca="false">(O47-L47)/G47</f>
        <v>1344.01064773736</v>
      </c>
    </row>
    <row r="48" customFormat="false" ht="15" hidden="false" customHeight="false" outlineLevel="0" collapsed="false">
      <c r="A48" s="1"/>
      <c r="D48" s="1"/>
      <c r="F48" s="1"/>
      <c r="G48" s="1"/>
      <c r="H48" s="1"/>
      <c r="J48" s="1"/>
      <c r="K48" s="1" t="n">
        <f aca="false">G48*I48</f>
        <v>0</v>
      </c>
      <c r="M48" s="23"/>
      <c r="N48" s="3"/>
      <c r="O48" s="23"/>
      <c r="R48" s="10"/>
    </row>
    <row r="49" customFormat="false" ht="16.4" hidden="false" customHeight="false" outlineLevel="0" collapsed="false">
      <c r="A49" s="1" t="n">
        <v>6070</v>
      </c>
      <c r="B49" s="0" t="s">
        <v>117</v>
      </c>
      <c r="C49" s="0" t="s">
        <v>118</v>
      </c>
      <c r="D49" s="1" t="s">
        <v>53</v>
      </c>
      <c r="E49" s="0" t="s">
        <v>54</v>
      </c>
      <c r="F49" s="1" t="n">
        <v>3.97</v>
      </c>
      <c r="G49" s="1" t="n">
        <v>3.97</v>
      </c>
      <c r="H49" s="1" t="n">
        <f aca="false">-((G49*100/F49)-100)</f>
        <v>-0</v>
      </c>
      <c r="I49" s="1" t="n">
        <v>730</v>
      </c>
      <c r="J49" s="1" t="n">
        <f aca="false">(F49-G49)*I49</f>
        <v>0</v>
      </c>
      <c r="K49" s="1" t="n">
        <f aca="false">G49*I49</f>
        <v>2898.1</v>
      </c>
      <c r="M49" s="32" t="n">
        <v>6345</v>
      </c>
      <c r="N49" s="3" t="s">
        <v>4</v>
      </c>
      <c r="O49" s="10" t="n">
        <v>6345</v>
      </c>
      <c r="P49" s="0" t="s">
        <v>26</v>
      </c>
      <c r="R49" s="10" t="n">
        <f aca="false">(O49-L49)/G49</f>
        <v>1598.23677581864</v>
      </c>
    </row>
    <row r="50" customFormat="false" ht="16.4" hidden="false" customHeight="false" outlineLevel="0" collapsed="false">
      <c r="A50" s="1" t="n">
        <v>6070</v>
      </c>
      <c r="B50" s="0" t="s">
        <v>117</v>
      </c>
      <c r="C50" s="0" t="s">
        <v>51</v>
      </c>
      <c r="D50" s="1" t="s">
        <v>53</v>
      </c>
      <c r="E50" s="0" t="s">
        <v>54</v>
      </c>
      <c r="F50" s="1" t="n">
        <v>1.66</v>
      </c>
      <c r="G50" s="1" t="n">
        <v>1.58</v>
      </c>
      <c r="H50" s="1" t="n">
        <f aca="false">-((G50*100/F50)-100)</f>
        <v>4.81927710843372</v>
      </c>
      <c r="I50" s="1" t="n">
        <v>730</v>
      </c>
      <c r="J50" s="1" t="n">
        <f aca="false">(F50-G50)*I50</f>
        <v>58.3999999999999</v>
      </c>
      <c r="K50" s="1" t="n">
        <f aca="false">G50*I50</f>
        <v>1153.4</v>
      </c>
      <c r="M50" s="32" t="n">
        <v>2653</v>
      </c>
      <c r="N50" s="3" t="s">
        <v>4</v>
      </c>
      <c r="O50" s="10" t="n">
        <v>2653</v>
      </c>
      <c r="P50" s="0" t="s">
        <v>29</v>
      </c>
      <c r="R50" s="10" t="n">
        <f aca="false">(O50-L50)/G50</f>
        <v>1679.11392405063</v>
      </c>
    </row>
    <row r="51" customFormat="false" ht="15" hidden="false" customHeight="false" outlineLevel="0" collapsed="false">
      <c r="A51" s="1"/>
      <c r="D51" s="1"/>
      <c r="F51" s="1"/>
      <c r="G51" s="1"/>
      <c r="H51" s="1"/>
      <c r="I51" s="1"/>
      <c r="J51" s="1"/>
      <c r="K51" s="1" t="n">
        <f aca="false">G51*I51</f>
        <v>0</v>
      </c>
      <c r="M51" s="32"/>
      <c r="N51" s="3"/>
      <c r="O51" s="10"/>
      <c r="R51" s="10"/>
    </row>
    <row r="52" customFormat="false" ht="16.4" hidden="false" customHeight="false" outlineLevel="0" collapsed="false">
      <c r="A52" s="1" t="n">
        <v>6095</v>
      </c>
      <c r="B52" s="0" t="s">
        <v>119</v>
      </c>
      <c r="C52" s="0" t="s">
        <v>120</v>
      </c>
      <c r="D52" s="1" t="s">
        <v>37</v>
      </c>
      <c r="E52" s="0" t="s">
        <v>38</v>
      </c>
      <c r="F52" s="1" t="n">
        <v>0.79</v>
      </c>
      <c r="G52" s="1" t="n">
        <v>0.79</v>
      </c>
      <c r="H52" s="1" t="n">
        <f aca="false">-((G52*100/F52)-100)</f>
        <v>-0</v>
      </c>
      <c r="I52" s="1" t="n">
        <v>381</v>
      </c>
      <c r="J52" s="1" t="n">
        <f aca="false">(F52-G52)*I52</f>
        <v>0</v>
      </c>
      <c r="K52" s="1" t="n">
        <f aca="false">G52*I52</f>
        <v>300.99</v>
      </c>
      <c r="M52" s="23" t="n">
        <v>1230</v>
      </c>
      <c r="N52" s="3" t="s">
        <v>4</v>
      </c>
      <c r="O52" s="23" t="n">
        <v>1230</v>
      </c>
      <c r="P52" s="0" t="s">
        <v>26</v>
      </c>
      <c r="R52" s="10" t="n">
        <f aca="false">(O52-L52)/G52</f>
        <v>1556.96202531646</v>
      </c>
    </row>
    <row r="53" customFormat="false" ht="16.4" hidden="false" customHeight="false" outlineLevel="0" collapsed="false">
      <c r="A53" s="1" t="n">
        <v>6095</v>
      </c>
      <c r="B53" s="0" t="s">
        <v>119</v>
      </c>
      <c r="C53" s="0" t="s">
        <v>57</v>
      </c>
      <c r="D53" s="1" t="s">
        <v>37</v>
      </c>
      <c r="E53" s="0" t="s">
        <v>38</v>
      </c>
      <c r="F53" s="1" t="n">
        <v>0.81</v>
      </c>
      <c r="G53" s="1" t="n">
        <v>0.81</v>
      </c>
      <c r="H53" s="1" t="n">
        <f aca="false">-((G53*100/F53)-100)</f>
        <v>-0</v>
      </c>
      <c r="I53" s="1" t="n">
        <v>381</v>
      </c>
      <c r="J53" s="1" t="n">
        <f aca="false">(F53-G53)*I53</f>
        <v>0</v>
      </c>
      <c r="K53" s="1" t="n">
        <f aca="false">G53*I53</f>
        <v>308.61</v>
      </c>
      <c r="M53" s="23" t="n">
        <v>1191</v>
      </c>
      <c r="N53" s="3" t="s">
        <v>4</v>
      </c>
      <c r="O53" s="23" t="n">
        <v>1191</v>
      </c>
      <c r="P53" s="0" t="s">
        <v>26</v>
      </c>
      <c r="R53" s="10" t="n">
        <f aca="false">(O53-L53)/G53</f>
        <v>1470.37037037037</v>
      </c>
    </row>
    <row r="54" customFormat="false" ht="16.4" hidden="false" customHeight="false" outlineLevel="0" collapsed="false">
      <c r="A54" s="1" t="n">
        <v>6095</v>
      </c>
      <c r="B54" s="0" t="s">
        <v>119</v>
      </c>
      <c r="C54" s="0" t="s">
        <v>42</v>
      </c>
      <c r="D54" s="1" t="s">
        <v>37</v>
      </c>
      <c r="E54" s="0" t="s">
        <v>38</v>
      </c>
      <c r="F54" s="1" t="n">
        <v>5.84</v>
      </c>
      <c r="G54" s="1" t="n">
        <v>5.84</v>
      </c>
      <c r="H54" s="1" t="n">
        <f aca="false">-((G54*100/F54)-100)</f>
        <v>-0</v>
      </c>
      <c r="I54" s="1" t="n">
        <v>381</v>
      </c>
      <c r="J54" s="1" t="n">
        <f aca="false">(F54-G54)*I54</f>
        <v>0</v>
      </c>
      <c r="K54" s="1" t="n">
        <f aca="false">G54*I54</f>
        <v>2225.04</v>
      </c>
      <c r="M54" s="23" t="n">
        <v>9314</v>
      </c>
      <c r="N54" s="3" t="s">
        <v>4</v>
      </c>
      <c r="O54" s="23" t="n">
        <v>9314</v>
      </c>
      <c r="P54" s="0" t="s">
        <v>29</v>
      </c>
      <c r="R54" s="10" t="n">
        <f aca="false">(O54-L54)/G54</f>
        <v>1594.86301369863</v>
      </c>
    </row>
    <row r="55" customFormat="false" ht="16.4" hidden="false" customHeight="false" outlineLevel="0" collapsed="false">
      <c r="A55" s="1" t="n">
        <v>6095</v>
      </c>
      <c r="B55" s="0" t="s">
        <v>119</v>
      </c>
      <c r="C55" s="0" t="s">
        <v>121</v>
      </c>
      <c r="D55" s="1" t="s">
        <v>37</v>
      </c>
      <c r="E55" s="0" t="s">
        <v>38</v>
      </c>
      <c r="F55" s="1" t="n">
        <v>2.48</v>
      </c>
      <c r="G55" s="1" t="n">
        <v>2.48</v>
      </c>
      <c r="H55" s="1" t="n">
        <f aca="false">-((G55*100/F55)-100)</f>
        <v>-0</v>
      </c>
      <c r="I55" s="1" t="n">
        <v>381</v>
      </c>
      <c r="J55" s="1" t="n">
        <f aca="false">(F55-G55)*I55</f>
        <v>0</v>
      </c>
      <c r="K55" s="1" t="n">
        <f aca="false">G55*I55</f>
        <v>944.88</v>
      </c>
      <c r="M55" s="23" t="n">
        <v>3887</v>
      </c>
      <c r="N55" s="3" t="s">
        <v>4</v>
      </c>
      <c r="O55" s="23" t="n">
        <v>3887</v>
      </c>
      <c r="P55" s="0" t="s">
        <v>29</v>
      </c>
      <c r="R55" s="10" t="n">
        <f aca="false">(O55-L55)/G55</f>
        <v>1567.33870967742</v>
      </c>
    </row>
    <row r="56" customFormat="false" ht="16.4" hidden="false" customHeight="false" outlineLevel="0" collapsed="false">
      <c r="A56" s="1" t="n">
        <v>6095</v>
      </c>
      <c r="B56" s="0" t="s">
        <v>119</v>
      </c>
      <c r="C56" s="0" t="s">
        <v>57</v>
      </c>
      <c r="D56" s="1" t="s">
        <v>37</v>
      </c>
      <c r="E56" s="0" t="s">
        <v>38</v>
      </c>
      <c r="F56" s="1" t="n">
        <v>1.63</v>
      </c>
      <c r="G56" s="1" t="n">
        <v>1.63</v>
      </c>
      <c r="H56" s="1" t="n">
        <f aca="false">-((G56*100/F56)-100)</f>
        <v>-0</v>
      </c>
      <c r="I56" s="1" t="n">
        <v>381</v>
      </c>
      <c r="J56" s="1" t="n">
        <f aca="false">(F56-G56)*I56</f>
        <v>0</v>
      </c>
      <c r="K56" s="1" t="n">
        <f aca="false">G56*I56</f>
        <v>621.03</v>
      </c>
      <c r="M56" s="23" t="n">
        <v>2554</v>
      </c>
      <c r="N56" s="3" t="s">
        <v>4</v>
      </c>
      <c r="O56" s="23" t="n">
        <v>2554</v>
      </c>
      <c r="P56" s="0" t="s">
        <v>29</v>
      </c>
      <c r="R56" s="10" t="n">
        <f aca="false">(O56-L56)/G56</f>
        <v>1566.87116564417</v>
      </c>
    </row>
    <row r="57" customFormat="false" ht="16.4" hidden="false" customHeight="false" outlineLevel="0" collapsed="false">
      <c r="A57" s="1" t="n">
        <v>6095</v>
      </c>
      <c r="B57" s="0" t="s">
        <v>119</v>
      </c>
      <c r="C57" s="0" t="s">
        <v>122</v>
      </c>
      <c r="D57" s="1" t="s">
        <v>37</v>
      </c>
      <c r="E57" s="0" t="s">
        <v>38</v>
      </c>
      <c r="F57" s="1" t="n">
        <v>1.45</v>
      </c>
      <c r="G57" s="1" t="n">
        <v>1.45</v>
      </c>
      <c r="H57" s="1" t="n">
        <f aca="false">-((G57*100/F57)-100)</f>
        <v>-0</v>
      </c>
      <c r="I57" s="1" t="n">
        <v>381</v>
      </c>
      <c r="J57" s="1" t="n">
        <f aca="false">(F57-G57)*I57</f>
        <v>0</v>
      </c>
      <c r="K57" s="1" t="n">
        <f aca="false">G57*I57</f>
        <v>552.45</v>
      </c>
      <c r="M57" s="23" t="n">
        <v>2254</v>
      </c>
      <c r="N57" s="3" t="s">
        <v>4</v>
      </c>
      <c r="O57" s="23" t="n">
        <v>2254</v>
      </c>
      <c r="P57" s="0" t="s">
        <v>29</v>
      </c>
      <c r="R57" s="10" t="n">
        <f aca="false">(O57-L57)/G57</f>
        <v>1554.48275862069</v>
      </c>
    </row>
    <row r="58" customFormat="false" ht="16.4" hidden="false" customHeight="false" outlineLevel="0" collapsed="false">
      <c r="A58" s="1" t="n">
        <v>6095</v>
      </c>
      <c r="B58" s="0" t="s">
        <v>119</v>
      </c>
      <c r="C58" s="0" t="s">
        <v>57</v>
      </c>
      <c r="D58" s="1" t="s">
        <v>37</v>
      </c>
      <c r="E58" s="0" t="s">
        <v>38</v>
      </c>
      <c r="F58" s="1" t="n">
        <v>1.09</v>
      </c>
      <c r="G58" s="1" t="n">
        <v>1.09</v>
      </c>
      <c r="H58" s="1" t="n">
        <f aca="false">-((G58*100/F58)-100)</f>
        <v>-0</v>
      </c>
      <c r="I58" s="1" t="n">
        <v>381</v>
      </c>
      <c r="J58" s="1" t="n">
        <f aca="false">(F58-G58)*I58</f>
        <v>0</v>
      </c>
      <c r="K58" s="1" t="n">
        <f aca="false">G58*I58</f>
        <v>415.29</v>
      </c>
      <c r="M58" s="23" t="n">
        <v>1694</v>
      </c>
      <c r="N58" s="3" t="s">
        <v>4</v>
      </c>
      <c r="O58" s="23" t="n">
        <v>1694</v>
      </c>
      <c r="P58" s="0" t="s">
        <v>29</v>
      </c>
      <c r="R58" s="10" t="n">
        <f aca="false">(O58-L58)/G58</f>
        <v>1554.12844036697</v>
      </c>
    </row>
    <row r="59" customFormat="false" ht="15" hidden="false" customHeight="false" outlineLevel="0" collapsed="false">
      <c r="A59" s="1"/>
      <c r="D59" s="1"/>
      <c r="F59" s="1"/>
      <c r="G59" s="1"/>
      <c r="H59" s="1"/>
      <c r="I59" s="1"/>
      <c r="J59" s="1"/>
      <c r="K59" s="1" t="n">
        <f aca="false">G59*I59</f>
        <v>0</v>
      </c>
      <c r="M59" s="23"/>
      <c r="N59" s="3"/>
      <c r="O59" s="23"/>
      <c r="R59" s="10"/>
    </row>
    <row r="60" customFormat="false" ht="16.4" hidden="false" customHeight="false" outlineLevel="0" collapsed="false">
      <c r="A60" s="1" t="n">
        <v>6054</v>
      </c>
      <c r="B60" s="0" t="s">
        <v>123</v>
      </c>
      <c r="C60" s="0" t="s">
        <v>55</v>
      </c>
      <c r="D60" s="1" t="s">
        <v>37</v>
      </c>
      <c r="E60" s="0" t="s">
        <v>38</v>
      </c>
      <c r="F60" s="1" t="n">
        <v>5.6</v>
      </c>
      <c r="G60" s="1" t="n">
        <v>5.6</v>
      </c>
      <c r="H60" s="1" t="n">
        <f aca="false">-((G60*100/F60)-100)</f>
        <v>-0</v>
      </c>
      <c r="I60" s="1" t="n">
        <v>381</v>
      </c>
      <c r="J60" s="1" t="n">
        <f aca="false">(F60-G60)*I60</f>
        <v>0</v>
      </c>
      <c r="K60" s="1" t="n">
        <f aca="false">G60*I60</f>
        <v>2133.6</v>
      </c>
      <c r="L60" s="10"/>
      <c r="M60" s="32" t="n">
        <v>7556</v>
      </c>
      <c r="N60" s="3" t="s">
        <v>4</v>
      </c>
      <c r="O60" s="10" t="n">
        <f aca="false">M60</f>
        <v>7556</v>
      </c>
      <c r="P60" s="0" t="s">
        <v>29</v>
      </c>
      <c r="R60" s="10" t="n">
        <f aca="false">(O60-L60)/G60</f>
        <v>1349.28571428571</v>
      </c>
    </row>
    <row r="61" customFormat="false" ht="16.4" hidden="false" customHeight="false" outlineLevel="0" collapsed="false">
      <c r="A61" s="1" t="n">
        <v>6054</v>
      </c>
      <c r="B61" s="0" t="s">
        <v>123</v>
      </c>
      <c r="C61" s="0" t="s">
        <v>55</v>
      </c>
      <c r="D61" s="1" t="s">
        <v>37</v>
      </c>
      <c r="E61" s="0" t="s">
        <v>38</v>
      </c>
      <c r="F61" s="1" t="n">
        <v>5.6</v>
      </c>
      <c r="G61" s="1" t="n">
        <v>5.6</v>
      </c>
      <c r="H61" s="1" t="n">
        <f aca="false">-((G61*100/F61)-100)</f>
        <v>-0</v>
      </c>
      <c r="I61" s="1" t="n">
        <v>381</v>
      </c>
      <c r="J61" s="1" t="n">
        <f aca="false">(F61-G61)*I61</f>
        <v>0</v>
      </c>
      <c r="K61" s="1" t="n">
        <f aca="false">G61*I61</f>
        <v>2133.6</v>
      </c>
      <c r="L61" s="10"/>
      <c r="M61" s="32" t="n">
        <v>7556</v>
      </c>
      <c r="N61" s="3" t="s">
        <v>4</v>
      </c>
      <c r="O61" s="10" t="n">
        <f aca="false">M61</f>
        <v>7556</v>
      </c>
      <c r="P61" s="0" t="s">
        <v>26</v>
      </c>
      <c r="R61" s="10" t="n">
        <f aca="false">(O61-L61)/G61</f>
        <v>1349.28571428571</v>
      </c>
    </row>
    <row r="62" customFormat="false" ht="15" hidden="false" customHeight="false" outlineLevel="0" collapsed="false">
      <c r="A62" s="1"/>
      <c r="D62" s="1"/>
      <c r="F62" s="1"/>
      <c r="G62" s="1"/>
      <c r="H62" s="1"/>
      <c r="I62" s="1"/>
      <c r="J62" s="1"/>
      <c r="K62" s="1"/>
      <c r="M62" s="23"/>
      <c r="N62" s="3"/>
      <c r="O62" s="23"/>
      <c r="R62" s="10"/>
    </row>
    <row r="63" customFormat="false" ht="15" hidden="false" customHeight="false" outlineLevel="0" collapsed="false">
      <c r="A63" s="1"/>
      <c r="D63" s="1"/>
      <c r="F63" s="1"/>
      <c r="G63" s="1"/>
      <c r="H63" s="1"/>
      <c r="I63" s="1"/>
      <c r="J63" s="1"/>
      <c r="K63" s="1"/>
      <c r="M63" s="23"/>
      <c r="N63" s="3"/>
      <c r="O63" s="23"/>
      <c r="R63" s="10"/>
    </row>
    <row r="64" customFormat="false" ht="15" hidden="false" customHeight="false" outlineLevel="0" collapsed="false">
      <c r="A64" s="1"/>
      <c r="D64" s="1"/>
      <c r="F64" s="1" t="n">
        <f aca="false">SUM(F5:F63)</f>
        <v>143.58</v>
      </c>
      <c r="G64" s="1" t="n">
        <f aca="false">SUM(G5:G63)</f>
        <v>132.77</v>
      </c>
      <c r="H64" s="1"/>
      <c r="I64" s="1"/>
      <c r="J64" s="1" t="n">
        <f aca="false">SUM(J5:J63)</f>
        <v>53.9</v>
      </c>
      <c r="K64" s="1" t="n">
        <f aca="false">SUM(K5:K63)</f>
        <v>63871.05</v>
      </c>
      <c r="M64" s="23" t="n">
        <f aca="false">SUM(M5:M63)</f>
        <v>208311</v>
      </c>
      <c r="N64" s="3"/>
      <c r="O64" s="23"/>
      <c r="R64" s="10"/>
    </row>
    <row r="65" customFormat="false" ht="15" hidden="false" customHeight="false" outlineLevel="0" collapsed="false">
      <c r="A65" s="1"/>
      <c r="D65" s="1"/>
      <c r="F65" s="1"/>
      <c r="G65" s="1"/>
      <c r="H65" s="1"/>
      <c r="I65" s="1"/>
      <c r="J65" s="1"/>
      <c r="K65" s="1"/>
      <c r="M65" s="23"/>
      <c r="N65" s="1"/>
      <c r="O65" s="23"/>
      <c r="R65" s="10"/>
    </row>
    <row r="66" customFormat="false" ht="15" hidden="false" customHeight="false" outlineLevel="0" collapsed="false">
      <c r="A66" s="1"/>
      <c r="D66" s="1"/>
      <c r="F66" s="1"/>
      <c r="G66" s="1"/>
      <c r="H66" s="1"/>
      <c r="I66" s="1"/>
      <c r="J66" s="1"/>
      <c r="K66" s="1"/>
      <c r="M66" s="23"/>
      <c r="N66" s="1"/>
      <c r="O66" s="23"/>
      <c r="R66" s="10"/>
    </row>
    <row r="67" customFormat="false" ht="15" hidden="false" customHeight="false" outlineLevel="0" collapsed="false">
      <c r="A67" s="1"/>
      <c r="D67" s="1"/>
      <c r="F67" s="1"/>
      <c r="G67" s="1"/>
      <c r="H67" s="1"/>
      <c r="I67" s="1"/>
      <c r="J67" s="1"/>
      <c r="K67" s="1"/>
      <c r="M67" s="10"/>
      <c r="N67" s="3"/>
      <c r="O67" s="10"/>
      <c r="R67" s="10"/>
    </row>
    <row r="70" customFormat="false" ht="15" hidden="false" customHeight="false" outlineLevel="0" collapsed="false">
      <c r="A70" s="1"/>
      <c r="D70" s="1"/>
      <c r="F70" s="1"/>
      <c r="G70" s="1"/>
      <c r="H70" s="1"/>
      <c r="I70" s="1"/>
      <c r="J70" s="1"/>
      <c r="K70" s="1"/>
      <c r="M70" s="23"/>
      <c r="N70" s="12"/>
      <c r="O70" s="23"/>
      <c r="R70" s="10"/>
    </row>
    <row r="71" customFormat="false" ht="15" hidden="false" customHeight="false" outlineLevel="0" collapsed="false">
      <c r="A71" s="1"/>
      <c r="D71" s="1"/>
      <c r="F71" s="1"/>
      <c r="G71" s="1"/>
      <c r="H71" s="1"/>
      <c r="I71" s="1"/>
      <c r="J71" s="1"/>
      <c r="K71" s="1"/>
      <c r="M71" s="23"/>
      <c r="N71" s="12"/>
      <c r="O71" s="23"/>
      <c r="R71" s="10"/>
    </row>
    <row r="72" customFormat="false" ht="15" hidden="false" customHeight="false" outlineLevel="0" collapsed="false">
      <c r="N72" s="12"/>
    </row>
    <row r="73" customFormat="false" ht="15" hidden="false" customHeight="false" outlineLevel="0" collapsed="false">
      <c r="A73" s="1"/>
      <c r="D73" s="1"/>
      <c r="F73" s="1"/>
      <c r="G73" s="1"/>
      <c r="H73" s="1"/>
      <c r="I73" s="1"/>
      <c r="J73" s="1"/>
      <c r="K73" s="1"/>
      <c r="L73" s="10"/>
      <c r="M73" s="10"/>
      <c r="N73" s="12"/>
      <c r="O73" s="10"/>
      <c r="R73" s="10"/>
    </row>
    <row r="74" customFormat="false" ht="15" hidden="false" customHeight="false" outlineLevel="0" collapsed="false">
      <c r="A74" s="1"/>
      <c r="D74" s="1"/>
      <c r="F74" s="1"/>
      <c r="G74" s="1"/>
      <c r="H74" s="1"/>
      <c r="I74" s="1"/>
      <c r="J74" s="1"/>
      <c r="K74" s="1"/>
      <c r="L74" s="10"/>
      <c r="M74" s="10"/>
      <c r="N74" s="26"/>
      <c r="O74" s="10"/>
      <c r="R74" s="10"/>
    </row>
    <row r="75" customFormat="false" ht="15" hidden="false" customHeight="false" outlineLevel="0" collapsed="false">
      <c r="A75" s="1"/>
      <c r="D75" s="1"/>
      <c r="F75" s="1"/>
      <c r="G75" s="1"/>
      <c r="H75" s="1"/>
      <c r="I75" s="1"/>
      <c r="J75" s="1"/>
      <c r="K75" s="1"/>
      <c r="L75" s="10"/>
      <c r="M75" s="10"/>
      <c r="N75" s="26"/>
      <c r="O75" s="10"/>
      <c r="R75" s="10"/>
    </row>
    <row r="76" customFormat="false" ht="15" hidden="false" customHeight="false" outlineLevel="0" collapsed="false">
      <c r="N76" s="26"/>
    </row>
    <row r="77" customFormat="false" ht="15" hidden="false" customHeight="false" outlineLevel="0" collapsed="false">
      <c r="A77" s="1"/>
      <c r="D77" s="1"/>
      <c r="F77" s="1"/>
      <c r="G77" s="1"/>
      <c r="H77" s="1"/>
      <c r="I77" s="1"/>
      <c r="J77" s="1"/>
      <c r="K77" s="1"/>
      <c r="M77" s="23"/>
      <c r="N77" s="26"/>
      <c r="O77" s="23"/>
      <c r="R77" s="10"/>
    </row>
    <row r="78" customFormat="false" ht="15" hidden="false" customHeight="false" outlineLevel="0" collapsed="false">
      <c r="A78" s="1"/>
      <c r="D78" s="1"/>
      <c r="F78" s="1"/>
      <c r="G78" s="1"/>
      <c r="H78" s="1"/>
      <c r="I78" s="1"/>
      <c r="J78" s="1"/>
      <c r="K78" s="1"/>
      <c r="M78" s="23"/>
      <c r="N78" s="26"/>
      <c r="O78" s="23"/>
      <c r="R78" s="10"/>
    </row>
    <row r="79" customFormat="false" ht="15" hidden="false" customHeight="false" outlineLevel="0" collapsed="false">
      <c r="A79" s="1"/>
      <c r="D79" s="1"/>
      <c r="F79" s="1"/>
      <c r="G79" s="1"/>
      <c r="H79" s="1"/>
      <c r="I79" s="1"/>
      <c r="J79" s="1"/>
      <c r="K79" s="1"/>
      <c r="L79" s="10"/>
      <c r="M79" s="10"/>
      <c r="N79" s="26"/>
      <c r="O79" s="10"/>
      <c r="R79" s="10"/>
    </row>
    <row r="80" customFormat="false" ht="15" hidden="false" customHeight="false" outlineLevel="0" collapsed="false">
      <c r="A80" s="1"/>
      <c r="D80" s="1"/>
      <c r="F80" s="1"/>
      <c r="G80" s="1"/>
      <c r="H80" s="1"/>
      <c r="I80" s="1"/>
      <c r="J80" s="1"/>
      <c r="K80" s="1"/>
      <c r="M80" s="23"/>
      <c r="N80" s="26"/>
      <c r="O80" s="23"/>
      <c r="R80" s="10"/>
    </row>
    <row r="81" customFormat="false" ht="15" hidden="false" customHeight="false" outlineLevel="0" collapsed="false">
      <c r="A81" s="1"/>
      <c r="D81" s="1"/>
      <c r="F81" s="1"/>
      <c r="G81" s="1"/>
      <c r="H81" s="1"/>
      <c r="I81" s="1"/>
      <c r="J81" s="1"/>
      <c r="K81" s="1"/>
      <c r="M81" s="23"/>
      <c r="N81" s="26"/>
      <c r="O81" s="23"/>
      <c r="R81" s="10"/>
    </row>
    <row r="82" customFormat="false" ht="15" hidden="false" customHeight="false" outlineLevel="0" collapsed="false">
      <c r="A82" s="1"/>
      <c r="D82" s="1"/>
      <c r="F82" s="1"/>
      <c r="G82" s="1"/>
      <c r="H82" s="1"/>
      <c r="J82" s="1"/>
      <c r="K82" s="1"/>
      <c r="M82" s="23"/>
      <c r="N82" s="26"/>
      <c r="O82" s="23"/>
      <c r="R82" s="10"/>
    </row>
    <row r="83" customFormat="false" ht="15" hidden="false" customHeight="false" outlineLevel="0" collapsed="false">
      <c r="N83" s="26"/>
    </row>
    <row r="84" customFormat="false" ht="15" hidden="false" customHeight="false" outlineLevel="0" collapsed="false">
      <c r="A84" s="1"/>
      <c r="D84" s="1"/>
      <c r="F84" s="1"/>
      <c r="G84" s="1"/>
      <c r="H84" s="1"/>
      <c r="I84" s="1"/>
      <c r="J84" s="1"/>
      <c r="K84" s="1"/>
      <c r="M84" s="23"/>
      <c r="N84" s="26"/>
      <c r="O84" s="23"/>
      <c r="R84" s="10"/>
    </row>
    <row r="85" customFormat="false" ht="15" hidden="false" customHeight="false" outlineLevel="0" collapsed="false">
      <c r="A85" s="1"/>
      <c r="D85" s="1"/>
      <c r="F85" s="1"/>
      <c r="G85" s="1"/>
      <c r="H85" s="1"/>
      <c r="I85" s="1"/>
      <c r="J85" s="1"/>
      <c r="K85" s="1"/>
      <c r="M85" s="23"/>
      <c r="N85" s="26"/>
      <c r="O85" s="23"/>
      <c r="R85" s="10"/>
    </row>
    <row r="86" customFormat="false" ht="15" hidden="false" customHeight="false" outlineLevel="0" collapsed="false">
      <c r="A86" s="1"/>
      <c r="D86" s="1"/>
      <c r="F86" s="1"/>
      <c r="G86" s="1"/>
      <c r="H86" s="1"/>
      <c r="I86" s="1"/>
      <c r="J86" s="1"/>
      <c r="K86" s="1"/>
      <c r="M86" s="23"/>
      <c r="N86" s="26"/>
      <c r="O86" s="23"/>
      <c r="R86" s="10"/>
    </row>
    <row r="88" customFormat="false" ht="15" hidden="false" customHeight="false" outlineLevel="0" collapsed="false">
      <c r="A88" s="1"/>
      <c r="D88" s="1"/>
      <c r="F88" s="1"/>
      <c r="G88" s="1"/>
      <c r="H88" s="1"/>
      <c r="I88" s="1"/>
      <c r="J88" s="1"/>
      <c r="K88" s="1"/>
      <c r="M88" s="23"/>
      <c r="N88" s="3"/>
      <c r="O88" s="23"/>
      <c r="R88" s="10"/>
    </row>
    <row r="90" customFormat="false" ht="15" hidden="false" customHeight="false" outlineLevel="0" collapsed="false">
      <c r="A90" s="1"/>
      <c r="D90" s="1"/>
      <c r="F90" s="1"/>
      <c r="G90" s="1"/>
      <c r="H90" s="1"/>
      <c r="J90" s="1"/>
      <c r="K90" s="1"/>
      <c r="M90" s="23"/>
      <c r="N90" s="3"/>
      <c r="O90" s="23"/>
      <c r="R90" s="10"/>
    </row>
    <row r="91" customFormat="false" ht="15" hidden="false" customHeight="false" outlineLevel="0" collapsed="false">
      <c r="A91" s="1"/>
      <c r="D91" s="1"/>
      <c r="F91" s="1"/>
      <c r="G91" s="1"/>
      <c r="H91" s="1"/>
      <c r="J91" s="1"/>
      <c r="K91" s="1"/>
      <c r="M91" s="23"/>
      <c r="N91" s="3"/>
      <c r="O91" s="23"/>
      <c r="R91" s="10"/>
    </row>
    <row r="92" customFormat="false" ht="15" hidden="false" customHeight="false" outlineLevel="0" collapsed="false">
      <c r="A92" s="1"/>
      <c r="D92" s="1"/>
      <c r="F92" s="1"/>
      <c r="G92" s="1"/>
      <c r="H92" s="1"/>
      <c r="J92" s="1"/>
      <c r="K92" s="1"/>
      <c r="M92" s="23"/>
      <c r="N92" s="3"/>
      <c r="O92" s="23"/>
      <c r="R92" s="10"/>
    </row>
    <row r="93" customFormat="false" ht="15" hidden="false" customHeight="false" outlineLevel="0" collapsed="false">
      <c r="A93" s="1"/>
      <c r="D93" s="1"/>
      <c r="F93" s="1"/>
      <c r="G93" s="1"/>
      <c r="H93" s="1"/>
      <c r="J93" s="1"/>
      <c r="K93" s="1"/>
      <c r="M93" s="23"/>
      <c r="N93" s="3"/>
      <c r="O93" s="23"/>
      <c r="R93" s="10"/>
    </row>
    <row r="94" customFormat="false" ht="15" hidden="false" customHeight="false" outlineLevel="0" collapsed="false">
      <c r="A94" s="1"/>
      <c r="D94" s="1"/>
      <c r="F94" s="1"/>
      <c r="G94" s="1"/>
      <c r="H94" s="1"/>
      <c r="I94" s="1"/>
      <c r="J94" s="1"/>
      <c r="K94" s="1"/>
      <c r="M94" s="23"/>
      <c r="N94" s="3"/>
      <c r="O94" s="23"/>
      <c r="R94" s="10"/>
    </row>
    <row r="95" customFormat="false" ht="15" hidden="false" customHeight="false" outlineLevel="0" collapsed="false">
      <c r="A95" s="1"/>
      <c r="D95" s="1"/>
      <c r="F95" s="1"/>
      <c r="H95" s="1"/>
      <c r="J95" s="1"/>
      <c r="K95" s="1"/>
      <c r="M95" s="23"/>
      <c r="N95" s="3"/>
      <c r="O95" s="23"/>
      <c r="R95" s="10"/>
    </row>
    <row r="97" customFormat="false" ht="15" hidden="false" customHeight="false" outlineLevel="0" collapsed="false">
      <c r="M97" s="23"/>
    </row>
    <row r="99" customFormat="false" ht="15" hidden="false" customHeight="false" outlineLevel="0" collapsed="false">
      <c r="A99" s="1"/>
      <c r="D99" s="1"/>
      <c r="F99" s="1"/>
      <c r="G99" s="1"/>
      <c r="H99" s="1"/>
      <c r="J99" s="1"/>
      <c r="K99" s="1"/>
      <c r="M99" s="23"/>
      <c r="N99" s="3"/>
      <c r="O99" s="23"/>
      <c r="R99" s="10"/>
    </row>
    <row r="101" customFormat="false" ht="15" hidden="false" customHeight="false" outlineLevel="0" collapsed="false">
      <c r="A101" s="1"/>
      <c r="D101" s="1"/>
      <c r="F101" s="1"/>
      <c r="G101" s="1"/>
      <c r="H101" s="1"/>
      <c r="I101" s="1"/>
      <c r="J101" s="1"/>
      <c r="K101" s="1"/>
      <c r="M101" s="23"/>
      <c r="N101" s="3"/>
      <c r="O101" s="23"/>
      <c r="R101" s="10"/>
    </row>
    <row r="102" customFormat="false" ht="15" hidden="false" customHeight="false" outlineLevel="0" collapsed="false">
      <c r="A102" s="1"/>
      <c r="D102" s="1"/>
      <c r="F102" s="1"/>
      <c r="G102" s="1"/>
      <c r="H102" s="1"/>
      <c r="I102" s="1"/>
      <c r="J102" s="1"/>
      <c r="K102" s="1"/>
      <c r="M102" s="23"/>
      <c r="N102" s="3"/>
      <c r="O102" s="23"/>
      <c r="R102" s="10"/>
    </row>
    <row r="103" customFormat="false" ht="15" hidden="false" customHeight="false" outlineLevel="0" collapsed="false">
      <c r="A103" s="1"/>
      <c r="D103" s="1"/>
      <c r="F103" s="1"/>
      <c r="G103" s="1"/>
      <c r="H103" s="1"/>
      <c r="I103" s="1"/>
      <c r="J103" s="1"/>
      <c r="K103" s="1"/>
      <c r="M103" s="23"/>
      <c r="N103" s="3"/>
      <c r="O103" s="23"/>
      <c r="R103" s="10"/>
    </row>
    <row r="104" customFormat="false" ht="15" hidden="false" customHeight="false" outlineLevel="0" collapsed="false">
      <c r="M104" s="25"/>
    </row>
    <row r="105" customFormat="false" ht="15" hidden="false" customHeight="false" outlineLevel="0" collapsed="false">
      <c r="F105" s="1"/>
      <c r="G105" s="1"/>
    </row>
    <row r="106" customFormat="false" ht="15" hidden="false" customHeight="false" outlineLevel="0" collapsed="false">
      <c r="F106" s="1"/>
      <c r="G106" s="1"/>
    </row>
    <row r="107" customFormat="false" ht="15" hidden="false" customHeight="false" outlineLevel="0" collapsed="false">
      <c r="F107" s="1"/>
      <c r="G107" s="1"/>
    </row>
    <row r="108" customFormat="false" ht="15" hidden="false" customHeight="false" outlineLevel="0" collapsed="false">
      <c r="F108" s="1"/>
      <c r="G108" s="1"/>
    </row>
    <row r="109" customFormat="false" ht="15" hidden="false" customHeight="false" outlineLevel="0" collapsed="false">
      <c r="F109" s="1"/>
      <c r="G109" s="1"/>
    </row>
    <row r="111" customFormat="false" ht="15" hidden="false" customHeight="false" outlineLevel="0" collapsed="false">
      <c r="F111" s="1"/>
      <c r="G111" s="1"/>
      <c r="I111" s="1"/>
    </row>
    <row r="114" customFormat="false" ht="15" hidden="false" customHeight="false" outlineLevel="0" collapsed="false">
      <c r="A114" s="1"/>
      <c r="D114" s="1"/>
      <c r="F114" s="1"/>
      <c r="G114" s="1"/>
      <c r="H114" s="1"/>
      <c r="I114" s="1"/>
      <c r="J114" s="1"/>
      <c r="K114" s="1"/>
      <c r="M114" s="23"/>
      <c r="N114" s="3"/>
      <c r="O114" s="23"/>
      <c r="R114" s="10"/>
    </row>
    <row r="115" customFormat="false" ht="15" hidden="false" customHeight="false" outlineLevel="0" collapsed="false">
      <c r="F115" s="1"/>
      <c r="G115" s="1"/>
      <c r="I115" s="1"/>
    </row>
    <row r="116" customFormat="false" ht="15" hidden="false" customHeight="false" outlineLevel="0" collapsed="false">
      <c r="A116" s="1"/>
      <c r="D116" s="1"/>
      <c r="F116" s="1"/>
      <c r="G116" s="1"/>
      <c r="H116" s="1"/>
      <c r="I116" s="1"/>
      <c r="J116" s="1"/>
      <c r="K116" s="1"/>
      <c r="L116" s="10"/>
      <c r="M116" s="10"/>
      <c r="N116" s="3"/>
      <c r="O116" s="10"/>
      <c r="R116" s="10"/>
    </row>
    <row r="117" customFormat="false" ht="15" hidden="false" customHeight="false" outlineLevel="0" collapsed="false">
      <c r="F117" s="1"/>
      <c r="G117" s="1"/>
      <c r="I117" s="1"/>
    </row>
    <row r="118" customFormat="false" ht="15" hidden="false" customHeight="false" outlineLevel="0" collapsed="false">
      <c r="A118" s="1"/>
      <c r="D118" s="1"/>
      <c r="F118" s="1"/>
      <c r="G118" s="1"/>
      <c r="H118" s="1"/>
      <c r="I118" s="1"/>
      <c r="J118" s="1"/>
      <c r="K118" s="1"/>
      <c r="L118" s="10"/>
      <c r="M118" s="10"/>
      <c r="N118" s="3"/>
      <c r="O118" s="30"/>
      <c r="R118" s="10"/>
    </row>
    <row r="119" customFormat="false" ht="15" hidden="false" customHeight="false" outlineLevel="0" collapsed="false">
      <c r="A119" s="1"/>
      <c r="C119" s="31"/>
      <c r="D119" s="1"/>
      <c r="F119" s="1"/>
      <c r="G119" s="1"/>
      <c r="H119" s="1"/>
      <c r="I119" s="1"/>
      <c r="J119" s="1"/>
      <c r="K119" s="1"/>
      <c r="L119" s="10"/>
      <c r="M119" s="10"/>
      <c r="N119" s="3"/>
      <c r="O119" s="30"/>
      <c r="R119" s="10"/>
    </row>
    <row r="120" customFormat="false" ht="15" hidden="false" customHeight="false" outlineLevel="0" collapsed="false">
      <c r="F120" s="1"/>
      <c r="G120" s="1"/>
      <c r="I120" s="1"/>
    </row>
    <row r="121" customFormat="false" ht="15" hidden="false" customHeight="false" outlineLevel="0" collapsed="false">
      <c r="A121" s="1"/>
      <c r="D121" s="1"/>
      <c r="F121" s="1"/>
      <c r="G121" s="1"/>
      <c r="H121" s="1"/>
      <c r="I121" s="1"/>
      <c r="J121" s="1"/>
      <c r="K121" s="1"/>
      <c r="M121" s="23"/>
      <c r="N121" s="3"/>
      <c r="O121" s="23"/>
      <c r="R121" s="10"/>
    </row>
    <row r="122" customFormat="false" ht="15" hidden="false" customHeight="false" outlineLevel="0" collapsed="false">
      <c r="A122" s="1"/>
      <c r="D122" s="1"/>
      <c r="F122" s="1"/>
      <c r="G122" s="1"/>
      <c r="H122" s="1"/>
      <c r="I122" s="1"/>
      <c r="J122" s="1"/>
      <c r="K122" s="1"/>
      <c r="M122" s="23"/>
      <c r="N122" s="3"/>
      <c r="O122" s="23"/>
      <c r="R122" s="10"/>
    </row>
    <row r="123" customFormat="false" ht="15" hidden="false" customHeight="false" outlineLevel="0" collapsed="false">
      <c r="A123" s="1"/>
      <c r="D123" s="1"/>
      <c r="F123" s="1"/>
      <c r="G123" s="1"/>
      <c r="H123" s="1"/>
      <c r="I123" s="33"/>
      <c r="J123" s="1"/>
      <c r="K123" s="1"/>
      <c r="M123" s="23"/>
      <c r="N123" s="3"/>
      <c r="O123" s="23"/>
      <c r="R123" s="10"/>
    </row>
    <row r="124" customFormat="false" ht="15" hidden="false" customHeight="false" outlineLevel="0" collapsed="false">
      <c r="A124" s="1"/>
      <c r="D124" s="1"/>
      <c r="F124" s="1"/>
      <c r="G124" s="1"/>
      <c r="H124" s="1"/>
      <c r="I124" s="1"/>
      <c r="J124" s="1"/>
      <c r="K124" s="1"/>
      <c r="M124" s="23"/>
      <c r="N124" s="3"/>
      <c r="O124" s="23"/>
      <c r="R124" s="10"/>
    </row>
    <row r="125" customFormat="false" ht="15" hidden="false" customHeight="false" outlineLevel="0" collapsed="false">
      <c r="A125" s="1"/>
      <c r="D125" s="1"/>
      <c r="F125" s="1"/>
      <c r="G125" s="1"/>
      <c r="H125" s="1"/>
      <c r="I125" s="33"/>
      <c r="J125" s="1"/>
      <c r="K125" s="1"/>
      <c r="M125" s="23"/>
      <c r="N125" s="3"/>
      <c r="O125" s="23"/>
      <c r="R125" s="10"/>
    </row>
    <row r="126" customFormat="false" ht="15" hidden="false" customHeight="false" outlineLevel="0" collapsed="false">
      <c r="A126" s="1"/>
      <c r="D126" s="1"/>
      <c r="F126" s="1"/>
      <c r="G126" s="1"/>
      <c r="H126" s="1"/>
      <c r="I126" s="1"/>
      <c r="J126" s="1"/>
      <c r="K126" s="1"/>
      <c r="M126" s="22"/>
      <c r="N126" s="3"/>
      <c r="O126" s="22"/>
      <c r="R126" s="10"/>
    </row>
    <row r="127" customFormat="false" ht="15" hidden="false" customHeight="false" outlineLevel="0" collapsed="false">
      <c r="A127" s="1"/>
      <c r="D127" s="1"/>
      <c r="F127" s="1"/>
      <c r="G127" s="1"/>
      <c r="H127" s="1"/>
      <c r="I127" s="33"/>
      <c r="J127" s="1"/>
      <c r="K127" s="1"/>
      <c r="M127" s="23"/>
      <c r="N127" s="3"/>
      <c r="O127" s="23"/>
      <c r="R127" s="10"/>
    </row>
    <row r="128" customFormat="false" ht="15" hidden="false" customHeight="false" outlineLevel="0" collapsed="false">
      <c r="A128" s="1"/>
      <c r="D128" s="1"/>
      <c r="F128" s="1"/>
      <c r="G128" s="1"/>
      <c r="H128" s="1"/>
      <c r="I128" s="33"/>
      <c r="J128" s="1"/>
      <c r="K128" s="1"/>
      <c r="M128" s="23"/>
      <c r="N128" s="3"/>
      <c r="O128" s="23"/>
      <c r="R128" s="10"/>
    </row>
    <row r="129" customFormat="false" ht="15" hidden="false" customHeight="false" outlineLevel="0" collapsed="false">
      <c r="A129" s="1"/>
      <c r="D129" s="1"/>
      <c r="F129" s="1"/>
      <c r="G129" s="1"/>
      <c r="H129" s="1"/>
      <c r="I129" s="33"/>
      <c r="J129" s="1"/>
      <c r="K129" s="1"/>
      <c r="M129" s="23"/>
      <c r="N129" s="3"/>
      <c r="O129" s="23"/>
      <c r="R129" s="10"/>
    </row>
    <row r="130" customFormat="false" ht="15" hidden="false" customHeight="false" outlineLevel="0" collapsed="false">
      <c r="A130" s="1"/>
      <c r="D130" s="1"/>
      <c r="F130" s="1"/>
      <c r="G130" s="1"/>
      <c r="H130" s="1"/>
      <c r="I130" s="33"/>
      <c r="J130" s="1"/>
      <c r="K130" s="1"/>
      <c r="M130" s="23"/>
      <c r="N130" s="3"/>
      <c r="O130" s="23"/>
      <c r="R130" s="10"/>
    </row>
    <row r="131" customFormat="false" ht="15" hidden="false" customHeight="false" outlineLevel="0" collapsed="false">
      <c r="A131" s="1"/>
      <c r="D131" s="1"/>
      <c r="F131" s="1"/>
      <c r="G131" s="1"/>
      <c r="H131" s="1"/>
      <c r="I131" s="33"/>
      <c r="J131" s="1"/>
      <c r="K131" s="1"/>
      <c r="M131" s="23"/>
      <c r="N131" s="3"/>
      <c r="O131" s="23"/>
      <c r="R131" s="10"/>
    </row>
    <row r="132" customFormat="false" ht="15" hidden="false" customHeight="false" outlineLevel="0" collapsed="false">
      <c r="A132" s="1"/>
      <c r="D132" s="1"/>
      <c r="F132" s="1"/>
      <c r="G132" s="1"/>
      <c r="H132" s="1"/>
      <c r="I132" s="33"/>
      <c r="J132" s="1"/>
      <c r="K132" s="1"/>
      <c r="M132" s="23"/>
      <c r="N132" s="3"/>
      <c r="O132" s="23"/>
      <c r="R132" s="10"/>
    </row>
    <row r="133" customFormat="false" ht="15" hidden="false" customHeight="false" outlineLevel="0" collapsed="false">
      <c r="A133" s="1"/>
      <c r="D133" s="1"/>
      <c r="F133" s="1"/>
      <c r="G133" s="1"/>
      <c r="H133" s="1"/>
      <c r="I133" s="33"/>
      <c r="J133" s="1"/>
      <c r="K133" s="1"/>
      <c r="M133" s="23"/>
      <c r="N133" s="3"/>
      <c r="O133" s="23"/>
      <c r="R133" s="10"/>
    </row>
    <row r="134" customFormat="false" ht="15" hidden="false" customHeight="false" outlineLevel="0" collapsed="false">
      <c r="A134" s="1"/>
      <c r="D134" s="1"/>
      <c r="F134" s="1"/>
      <c r="G134" s="1"/>
      <c r="H134" s="1"/>
      <c r="J134" s="1"/>
      <c r="K134" s="1"/>
      <c r="M134" s="23"/>
      <c r="N134" s="3"/>
      <c r="O134" s="23"/>
      <c r="R134" s="10"/>
    </row>
    <row r="135" customFormat="false" ht="15" hidden="false" customHeight="false" outlineLevel="0" collapsed="false">
      <c r="A135" s="1"/>
      <c r="D135" s="1"/>
      <c r="F135" s="1"/>
      <c r="G135" s="1"/>
      <c r="H135" s="1"/>
      <c r="I135" s="33"/>
      <c r="J135" s="1"/>
      <c r="K135" s="1"/>
      <c r="M135" s="23"/>
      <c r="N135" s="3"/>
      <c r="O135" s="23"/>
      <c r="R135" s="10"/>
    </row>
    <row r="136" customFormat="false" ht="15" hidden="false" customHeight="false" outlineLevel="0" collapsed="false">
      <c r="A136" s="1"/>
      <c r="D136" s="1"/>
      <c r="F136" s="1"/>
      <c r="G136" s="1"/>
      <c r="H136" s="1"/>
      <c r="I136" s="33"/>
      <c r="J136" s="1"/>
      <c r="K136" s="1"/>
      <c r="M136" s="23"/>
      <c r="N136" s="3"/>
      <c r="O136" s="23"/>
      <c r="R136" s="10"/>
    </row>
    <row r="137" customFormat="false" ht="15" hidden="false" customHeight="false" outlineLevel="0" collapsed="false">
      <c r="A137" s="1"/>
      <c r="D137" s="1"/>
      <c r="F137" s="1"/>
      <c r="G137" s="1"/>
      <c r="H137" s="1"/>
      <c r="I137" s="33"/>
      <c r="J137" s="1"/>
      <c r="K137" s="1"/>
      <c r="M137" s="23"/>
      <c r="N137" s="3"/>
      <c r="O137" s="23"/>
      <c r="R137" s="10"/>
    </row>
    <row r="138" customFormat="false" ht="15" hidden="false" customHeight="false" outlineLevel="0" collapsed="false">
      <c r="A138" s="1"/>
      <c r="D138" s="1"/>
      <c r="F138" s="1"/>
      <c r="G138" s="1"/>
      <c r="H138" s="1"/>
      <c r="J138" s="1"/>
      <c r="K138" s="1"/>
      <c r="M138" s="23"/>
      <c r="N138" s="3"/>
      <c r="O138" s="23"/>
      <c r="R138" s="10"/>
    </row>
    <row r="139" customFormat="false" ht="15" hidden="false" customHeight="false" outlineLevel="0" collapsed="false">
      <c r="A139" s="1"/>
      <c r="D139" s="1"/>
      <c r="F139" s="1"/>
      <c r="G139" s="1"/>
      <c r="H139" s="1"/>
      <c r="J139" s="1"/>
      <c r="K139" s="1"/>
      <c r="M139" s="23"/>
      <c r="N139" s="3"/>
      <c r="O139" s="23"/>
      <c r="R139" s="10"/>
    </row>
    <row r="140" customFormat="false" ht="15" hidden="false" customHeight="false" outlineLevel="0" collapsed="false">
      <c r="A140" s="1"/>
      <c r="D140" s="1"/>
      <c r="F140" s="1"/>
      <c r="G140" s="1"/>
      <c r="H140" s="1"/>
      <c r="J140" s="1"/>
      <c r="K140" s="1"/>
      <c r="M140" s="23"/>
      <c r="N140" s="3"/>
      <c r="O140" s="23"/>
      <c r="R140" s="10"/>
    </row>
    <row r="141" customFormat="false" ht="15" hidden="false" customHeight="false" outlineLevel="0" collapsed="false">
      <c r="A141" s="1"/>
      <c r="D141" s="1"/>
      <c r="F141" s="1"/>
      <c r="G141" s="1"/>
      <c r="H141" s="1"/>
      <c r="I141" s="33"/>
      <c r="J141" s="1"/>
      <c r="K141" s="1"/>
      <c r="M141" s="23"/>
      <c r="N141" s="3"/>
      <c r="O141" s="23"/>
      <c r="R141" s="10"/>
    </row>
    <row r="142" customFormat="false" ht="15" hidden="false" customHeight="false" outlineLevel="0" collapsed="false">
      <c r="A142" s="1"/>
      <c r="D142" s="1"/>
      <c r="F142" s="1"/>
      <c r="G142" s="1"/>
      <c r="H142" s="1"/>
      <c r="J142" s="1"/>
      <c r="K142" s="1"/>
      <c r="M142" s="23"/>
      <c r="N142" s="3"/>
      <c r="O142" s="23"/>
      <c r="R142" s="10"/>
    </row>
    <row r="143" customFormat="false" ht="15" hidden="false" customHeight="false" outlineLevel="0" collapsed="false">
      <c r="A143" s="1"/>
      <c r="D143" s="1"/>
      <c r="F143" s="1"/>
      <c r="G143" s="1"/>
      <c r="H143" s="1"/>
      <c r="J143" s="1"/>
      <c r="K143" s="1"/>
      <c r="M143" s="23"/>
      <c r="N143" s="3"/>
      <c r="O143" s="23"/>
      <c r="R143" s="10"/>
    </row>
    <row r="144" customFormat="false" ht="15" hidden="false" customHeight="false" outlineLevel="0" collapsed="false">
      <c r="A144" s="1"/>
      <c r="D144" s="1"/>
      <c r="F144" s="1"/>
      <c r="G144" s="1"/>
      <c r="H144" s="1"/>
      <c r="J144" s="1"/>
      <c r="K144" s="1"/>
      <c r="M144" s="23"/>
      <c r="N144" s="3"/>
      <c r="O144" s="23"/>
      <c r="R144" s="10"/>
    </row>
    <row r="145" customFormat="false" ht="15" hidden="false" customHeight="false" outlineLevel="0" collapsed="false">
      <c r="A145" s="1"/>
      <c r="D145" s="1"/>
      <c r="F145" s="1"/>
      <c r="G145" s="1"/>
      <c r="H145" s="1"/>
      <c r="J145" s="1"/>
      <c r="K145" s="1"/>
      <c r="M145" s="23"/>
      <c r="N145" s="3"/>
      <c r="O145" s="23"/>
      <c r="R145" s="10"/>
    </row>
    <row r="146" customFormat="false" ht="15" hidden="false" customHeight="false" outlineLevel="0" collapsed="false">
      <c r="A146" s="1"/>
      <c r="D146" s="1"/>
      <c r="F146" s="1"/>
      <c r="H146" s="1"/>
      <c r="J146" s="1"/>
      <c r="K146" s="1"/>
      <c r="M146" s="22"/>
      <c r="N146" s="3"/>
      <c r="O146" s="22"/>
      <c r="R146" s="10"/>
    </row>
    <row r="147" customFormat="false" ht="15" hidden="false" customHeight="false" outlineLevel="0" collapsed="false">
      <c r="A147" s="1"/>
      <c r="H147" s="1"/>
      <c r="J147" s="1"/>
      <c r="K147" s="1"/>
      <c r="M147" s="23"/>
      <c r="N147" s="3"/>
      <c r="O147" s="23"/>
      <c r="R147" s="10"/>
    </row>
    <row r="148" customFormat="false" ht="15" hidden="false" customHeight="false" outlineLevel="0" collapsed="false">
      <c r="A148" s="1"/>
      <c r="H148" s="1"/>
      <c r="J148" s="1"/>
      <c r="K148" s="1"/>
      <c r="M148" s="22"/>
      <c r="N148" s="3"/>
      <c r="O148" s="22"/>
      <c r="R148" s="10"/>
    </row>
    <row r="149" customFormat="false" ht="15" hidden="false" customHeight="false" outlineLevel="0" collapsed="false">
      <c r="A149" s="1"/>
      <c r="H149" s="1"/>
      <c r="J149" s="1"/>
      <c r="K149" s="1"/>
      <c r="M149" s="22"/>
      <c r="N149" s="3"/>
      <c r="O149" s="22"/>
      <c r="R149" s="10"/>
    </row>
    <row r="150" customFormat="false" ht="15" hidden="false" customHeight="false" outlineLevel="0" collapsed="false">
      <c r="A150" s="1"/>
      <c r="H150" s="1"/>
      <c r="J150" s="1"/>
      <c r="K150" s="1"/>
      <c r="M150" s="22"/>
      <c r="N150" s="3"/>
      <c r="O150" s="22"/>
      <c r="R150" s="10"/>
    </row>
    <row r="151" customFormat="false" ht="15" hidden="false" customHeight="false" outlineLevel="0" collapsed="false">
      <c r="A151" s="1"/>
      <c r="H151" s="1"/>
      <c r="J151" s="1"/>
      <c r="K151" s="1"/>
      <c r="M151" s="22"/>
      <c r="N151" s="3"/>
      <c r="O151" s="22"/>
      <c r="R151" s="10"/>
    </row>
    <row r="152" customFormat="false" ht="15" hidden="false" customHeight="false" outlineLevel="0" collapsed="false">
      <c r="A152" s="1"/>
      <c r="H152" s="1"/>
      <c r="J152" s="1"/>
      <c r="K152" s="1"/>
      <c r="M152" s="22"/>
      <c r="N152" s="3"/>
      <c r="O152" s="22"/>
      <c r="R152" s="10"/>
    </row>
    <row r="153" customFormat="false" ht="15" hidden="false" customHeight="false" outlineLevel="0" collapsed="false">
      <c r="A153" s="1"/>
      <c r="H153" s="1"/>
      <c r="J153" s="1"/>
      <c r="K153" s="1"/>
      <c r="M153" s="22"/>
      <c r="N153" s="3"/>
      <c r="O153" s="22"/>
      <c r="R153" s="10"/>
    </row>
    <row r="154" customFormat="false" ht="15" hidden="false" customHeight="false" outlineLevel="0" collapsed="false">
      <c r="A154" s="1"/>
      <c r="H154" s="1"/>
      <c r="J154" s="1"/>
      <c r="K154" s="1"/>
      <c r="M154" s="22"/>
      <c r="N154" s="3"/>
      <c r="O154" s="22"/>
      <c r="R154" s="10"/>
    </row>
    <row r="155" customFormat="false" ht="15" hidden="false" customHeight="false" outlineLevel="0" collapsed="false">
      <c r="A155" s="1"/>
      <c r="H155" s="1"/>
      <c r="J155" s="1"/>
      <c r="K155" s="1"/>
      <c r="M155" s="22"/>
      <c r="N155" s="3"/>
      <c r="O155" s="22"/>
      <c r="R155" s="10"/>
    </row>
    <row r="156" customFormat="false" ht="15" hidden="false" customHeight="false" outlineLevel="0" collapsed="false">
      <c r="A156" s="1"/>
      <c r="H156" s="1"/>
      <c r="J156" s="1"/>
      <c r="K156" s="1"/>
      <c r="M156" s="22"/>
      <c r="N156" s="3"/>
      <c r="O156" s="22"/>
      <c r="R156" s="10"/>
    </row>
    <row r="157" customFormat="false" ht="15" hidden="false" customHeight="false" outlineLevel="0" collapsed="false">
      <c r="A157" s="1"/>
      <c r="H157" s="1"/>
      <c r="J157" s="1"/>
      <c r="K157" s="1"/>
      <c r="M157" s="22"/>
      <c r="N157" s="3"/>
      <c r="O157" s="22"/>
      <c r="R157" s="10"/>
    </row>
    <row r="158" customFormat="false" ht="15" hidden="false" customHeight="false" outlineLevel="0" collapsed="false">
      <c r="A158" s="1"/>
      <c r="H158" s="1"/>
      <c r="J158" s="1"/>
      <c r="K158" s="1"/>
      <c r="M158" s="22"/>
      <c r="N158" s="3"/>
      <c r="O158" s="22"/>
      <c r="R158" s="10"/>
    </row>
    <row r="159" customFormat="false" ht="15" hidden="false" customHeight="false" outlineLevel="0" collapsed="false">
      <c r="A159" s="1"/>
      <c r="H159" s="1"/>
      <c r="J159" s="1"/>
      <c r="K159" s="1"/>
      <c r="M159" s="22"/>
      <c r="N159" s="3"/>
      <c r="O159" s="22"/>
      <c r="R159" s="10"/>
    </row>
    <row r="160" customFormat="false" ht="15" hidden="false" customHeight="false" outlineLevel="0" collapsed="false">
      <c r="A160" s="1"/>
      <c r="H160" s="1"/>
      <c r="J160" s="1"/>
      <c r="K160" s="1"/>
      <c r="M160" s="22"/>
      <c r="N160" s="3"/>
      <c r="O160" s="22"/>
      <c r="R160" s="10"/>
    </row>
    <row r="161" customFormat="false" ht="15" hidden="false" customHeight="false" outlineLevel="0" collapsed="false">
      <c r="A161" s="1"/>
      <c r="H161" s="1"/>
      <c r="J161" s="1"/>
      <c r="K161" s="1"/>
      <c r="M161" s="22"/>
      <c r="N161" s="3"/>
      <c r="O161" s="22"/>
      <c r="R161" s="10"/>
    </row>
    <row r="162" customFormat="false" ht="15" hidden="false" customHeight="false" outlineLevel="0" collapsed="false">
      <c r="A162" s="1"/>
      <c r="H162" s="1"/>
      <c r="J162" s="1"/>
      <c r="K162" s="1"/>
      <c r="M162" s="22"/>
      <c r="N162" s="3"/>
      <c r="O162" s="22"/>
      <c r="R162" s="10"/>
    </row>
    <row r="163" customFormat="false" ht="15" hidden="false" customHeight="false" outlineLevel="0" collapsed="false">
      <c r="A163" s="1"/>
      <c r="H163" s="1"/>
      <c r="J163" s="1"/>
      <c r="K163" s="1"/>
      <c r="M163" s="22"/>
      <c r="N163" s="3"/>
      <c r="O163" s="22"/>
      <c r="R163" s="10"/>
    </row>
  </sheetData>
  <conditionalFormatting sqref="N40:N67">
    <cfRule type="containsText" priority="2" operator="containsText" aboveAverage="0" equalAverage="0" bottom="0" percent="0" rank="0" text="a montar" dxfId="105">
      <formula>NOT(ISERROR(SEARCH("a montar",N40)))</formula>
    </cfRule>
    <cfRule type="containsText" priority="3" operator="containsText" aboveAverage="0" equalAverage="0" bottom="0" percent="0" rank="0" text="a serrar" dxfId="106">
      <formula>NOT(ISERROR(SEARCH("a serrar",N40)))</formula>
    </cfRule>
    <cfRule type="containsText" priority="4" operator="containsText" aboveAverage="0" equalAverage="0" bottom="0" percent="0" rank="0" text="pronto" dxfId="107">
      <formula>NOT(ISERROR(SEARCH("pronto",N40)))</formula>
    </cfRule>
    <cfRule type="containsText" priority="5" operator="containsText" aboveAverage="0" equalAverage="0" bottom="0" percent="0" rank="0" text="empreita" dxfId="108">
      <formula>NOT(ISERROR(SEARCH("empreita",N40)))</formula>
    </cfRule>
    <cfRule type="containsText" priority="6" operator="containsText" aboveAverage="0" equalAverage="0" bottom="0" percent="0" rank="0" text="previsto" dxfId="109">
      <formula>NOT(ISERROR(SEARCH("previsto",N40)))</formula>
    </cfRule>
    <cfRule type="containsText" priority="7" operator="containsText" aboveAverage="0" equalAverage="0" bottom="0" percent="0" rank="0" text="produzindo" dxfId="110">
      <formula>NOT(ISERROR(SEARCH("produzindo",N40)))</formula>
    </cfRule>
    <cfRule type="containsText" priority="8" operator="containsText" aboveAverage="0" equalAverage="0" bottom="0" percent="0" rank="0" text="material ok" dxfId="111">
      <formula>NOT(ISERROR(SEARCH("material ok",N40)))</formula>
    </cfRule>
  </conditionalFormatting>
  <conditionalFormatting sqref="N35">
    <cfRule type="containsText" priority="9" operator="containsText" aboveAverage="0" equalAverage="0" bottom="0" percent="0" rank="0" text="a montar" dxfId="112">
      <formula>NOT(ISERROR(SEARCH("a montar",N35)))</formula>
    </cfRule>
    <cfRule type="containsText" priority="10" operator="containsText" aboveAverage="0" equalAverage="0" bottom="0" percent="0" rank="0" text="a serrar" dxfId="113">
      <formula>NOT(ISERROR(SEARCH("a serrar",N35)))</formula>
    </cfRule>
    <cfRule type="containsText" priority="11" operator="containsText" aboveAverage="0" equalAverage="0" bottom="0" percent="0" rank="0" text="pronto" dxfId="114">
      <formula>NOT(ISERROR(SEARCH("pronto",N35)))</formula>
    </cfRule>
    <cfRule type="containsText" priority="12" operator="containsText" aboveAverage="0" equalAverage="0" bottom="0" percent="0" rank="0" text="empreita" dxfId="115">
      <formula>NOT(ISERROR(SEARCH("empreita",N35)))</formula>
    </cfRule>
    <cfRule type="containsText" priority="13" operator="containsText" aboveAverage="0" equalAverage="0" bottom="0" percent="0" rank="0" text="previsto" dxfId="116">
      <formula>NOT(ISERROR(SEARCH("previsto",N35)))</formula>
    </cfRule>
    <cfRule type="containsText" priority="14" operator="containsText" aboveAverage="0" equalAverage="0" bottom="0" percent="0" rank="0" text="produzindo" dxfId="117">
      <formula>NOT(ISERROR(SEARCH("produzindo",N35)))</formula>
    </cfRule>
    <cfRule type="containsText" priority="15" operator="containsText" aboveAverage="0" equalAverage="0" bottom="0" percent="0" rank="0" text="material ok" dxfId="118">
      <formula>NOT(ISERROR(SEARCH("material ok",N35)))</formula>
    </cfRule>
  </conditionalFormatting>
  <conditionalFormatting sqref="N37:N38">
    <cfRule type="containsText" priority="16" operator="containsText" aboveAverage="0" equalAverage="0" bottom="0" percent="0" rank="0" text="a montar" dxfId="119">
      <formula>NOT(ISERROR(SEARCH("a montar",N37)))</formula>
    </cfRule>
    <cfRule type="containsText" priority="17" operator="containsText" aboveAverage="0" equalAverage="0" bottom="0" percent="0" rank="0" text="a serrar" dxfId="120">
      <formula>NOT(ISERROR(SEARCH("a serrar",N37)))</formula>
    </cfRule>
    <cfRule type="containsText" priority="18" operator="containsText" aboveAverage="0" equalAverage="0" bottom="0" percent="0" rank="0" text="pronto" dxfId="121">
      <formula>NOT(ISERROR(SEARCH("pronto",N37)))</formula>
    </cfRule>
    <cfRule type="containsText" priority="19" operator="containsText" aboveAverage="0" equalAverage="0" bottom="0" percent="0" rank="0" text="empreita" dxfId="122">
      <formula>NOT(ISERROR(SEARCH("empreita",N37)))</formula>
    </cfRule>
    <cfRule type="containsText" priority="20" operator="containsText" aboveAverage="0" equalAverage="0" bottom="0" percent="0" rank="0" text="previsto" dxfId="123">
      <formula>NOT(ISERROR(SEARCH("previsto",N37)))</formula>
    </cfRule>
    <cfRule type="containsText" priority="21" operator="containsText" aboveAverage="0" equalAverage="0" bottom="0" percent="0" rank="0" text="produzindo" dxfId="124">
      <formula>NOT(ISERROR(SEARCH("produzindo",N37)))</formula>
    </cfRule>
    <cfRule type="containsText" priority="22" operator="containsText" aboveAverage="0" equalAverage="0" bottom="0" percent="0" rank="0" text="material ok" dxfId="125">
      <formula>NOT(ISERROR(SEARCH("material ok",N37)))</formula>
    </cfRule>
  </conditionalFormatting>
  <conditionalFormatting sqref="N5:N33">
    <cfRule type="containsText" priority="23" operator="containsText" aboveAverage="0" equalAverage="0" bottom="0" percent="0" rank="0" text="a montar" dxfId="126">
      <formula>NOT(ISERROR(SEARCH("a montar",N5)))</formula>
    </cfRule>
    <cfRule type="containsText" priority="24" operator="containsText" aboveAverage="0" equalAverage="0" bottom="0" percent="0" rank="0" text="a serrar" dxfId="127">
      <formula>NOT(ISERROR(SEARCH("a serrar",N5)))</formula>
    </cfRule>
    <cfRule type="containsText" priority="25" operator="containsText" aboveAverage="0" equalAverage="0" bottom="0" percent="0" rank="0" text="pronto" dxfId="128">
      <formula>NOT(ISERROR(SEARCH("pronto",N5)))</formula>
    </cfRule>
    <cfRule type="containsText" priority="26" operator="containsText" aboveAverage="0" equalAverage="0" bottom="0" percent="0" rank="0" text="empreita" dxfId="129">
      <formula>NOT(ISERROR(SEARCH("empreita",N5)))</formula>
    </cfRule>
    <cfRule type="containsText" priority="27" operator="containsText" aboveAverage="0" equalAverage="0" bottom="0" percent="0" rank="0" text="previsto" dxfId="130">
      <formula>NOT(ISERROR(SEARCH("previsto",N5)))</formula>
    </cfRule>
    <cfRule type="containsText" priority="28" operator="containsText" aboveAverage="0" equalAverage="0" bottom="0" percent="0" rank="0" text="produzindo" dxfId="131">
      <formula>NOT(ISERROR(SEARCH("produzindo",N5)))</formula>
    </cfRule>
    <cfRule type="containsText" priority="29" operator="containsText" aboveAverage="0" equalAverage="0" bottom="0" percent="0" rank="0" text="material ok" dxfId="132">
      <formula>NOT(ISERROR(SEARCH("material ok",N5)))</formula>
    </cfRule>
  </conditionalFormatting>
  <conditionalFormatting sqref="N116 N118:N119">
    <cfRule type="containsText" priority="30" operator="containsText" aboveAverage="0" equalAverage="0" bottom="0" percent="0" rank="0" text="a montar" dxfId="133">
      <formula>NOT(ISERROR(SEARCH("a montar",N116)))</formula>
    </cfRule>
    <cfRule type="containsText" priority="31" operator="containsText" aboveAverage="0" equalAverage="0" bottom="0" percent="0" rank="0" text="a serrar" dxfId="134">
      <formula>NOT(ISERROR(SEARCH("a serrar",N116)))</formula>
    </cfRule>
    <cfRule type="containsText" priority="32" operator="containsText" aboveAverage="0" equalAverage="0" bottom="0" percent="0" rank="0" text="pronto" dxfId="135">
      <formula>NOT(ISERROR(SEARCH("pronto",N116)))</formula>
    </cfRule>
    <cfRule type="containsText" priority="33" operator="containsText" aboveAverage="0" equalAverage="0" bottom="0" percent="0" rank="0" text="empreita" dxfId="136">
      <formula>NOT(ISERROR(SEARCH("empreita",N116)))</formula>
    </cfRule>
    <cfRule type="containsText" priority="34" operator="containsText" aboveAverage="0" equalAverage="0" bottom="0" percent="0" rank="0" text="previsto" dxfId="137">
      <formula>NOT(ISERROR(SEARCH("previsto",N116)))</formula>
    </cfRule>
    <cfRule type="containsText" priority="35" operator="containsText" aboveAverage="0" equalAverage="0" bottom="0" percent="0" rank="0" text="produzindo" dxfId="138">
      <formula>NOT(ISERROR(SEARCH("produzindo",N116)))</formula>
    </cfRule>
    <cfRule type="containsText" priority="36" operator="containsText" aboveAverage="0" equalAverage="0" bottom="0" percent="0" rank="0" text="material ok" dxfId="139">
      <formula>NOT(ISERROR(SEARCH("material ok",N116)))</formula>
    </cfRule>
  </conditionalFormatting>
  <conditionalFormatting sqref="M1">
    <cfRule type="containsText" priority="37" operator="containsText" aboveAverage="0" equalAverage="0" bottom="0" percent="0" rank="0" text="a montar" dxfId="140">
      <formula>NOT(ISERROR(SEARCH("a montar",M1)))</formula>
    </cfRule>
    <cfRule type="containsText" priority="38" operator="containsText" aboveAverage="0" equalAverage="0" bottom="0" percent="0" rank="0" text="a serrar" dxfId="141">
      <formula>NOT(ISERROR(SEARCH("a serrar",M1)))</formula>
    </cfRule>
    <cfRule type="containsText" priority="39" operator="containsText" aboveAverage="0" equalAverage="0" bottom="0" percent="0" rank="0" text="pronto" dxfId="142">
      <formula>NOT(ISERROR(SEARCH("pronto",M1)))</formula>
    </cfRule>
    <cfRule type="containsText" priority="40" operator="containsText" aboveAverage="0" equalAverage="0" bottom="0" percent="0" rank="0" text="empreita" dxfId="143">
      <formula>NOT(ISERROR(SEARCH("empreita",M1)))</formula>
    </cfRule>
    <cfRule type="containsText" priority="41" operator="containsText" aboveAverage="0" equalAverage="0" bottom="0" percent="0" rank="0" text="previsto" dxfId="144">
      <formula>NOT(ISERROR(SEARCH("previsto",M1)))</formula>
    </cfRule>
    <cfRule type="containsText" priority="42" operator="containsText" aboveAverage="0" equalAverage="0" bottom="0" percent="0" rank="0" text="produzindo" dxfId="145">
      <formula>NOT(ISERROR(SEARCH("produzindo",M1)))</formula>
    </cfRule>
    <cfRule type="containsText" priority="43" operator="containsText" aboveAverage="0" equalAverage="0" bottom="0" percent="0" rank="0" text="material ok" dxfId="146">
      <formula>NOT(ISERROR(SEARCH("material ok",M1)))</formula>
    </cfRule>
  </conditionalFormatting>
  <conditionalFormatting sqref="J1">
    <cfRule type="containsText" priority="44" operator="containsText" aboveAverage="0" equalAverage="0" bottom="0" percent="0" rank="0" text="a montar" dxfId="147">
      <formula>NOT(ISERROR(SEARCH("a montar",J1)))</formula>
    </cfRule>
    <cfRule type="containsText" priority="45" operator="containsText" aboveAverage="0" equalAverage="0" bottom="0" percent="0" rank="0" text="a serrar" dxfId="148">
      <formula>NOT(ISERROR(SEARCH("a serrar",J1)))</formula>
    </cfRule>
    <cfRule type="containsText" priority="46" operator="containsText" aboveAverage="0" equalAverage="0" bottom="0" percent="0" rank="0" text="pronto" dxfId="149">
      <formula>NOT(ISERROR(SEARCH("pronto",J1)))</formula>
    </cfRule>
    <cfRule type="containsText" priority="47" operator="containsText" aboveAverage="0" equalAverage="0" bottom="0" percent="0" rank="0" text="empreita" dxfId="150">
      <formula>NOT(ISERROR(SEARCH("empreita",J1)))</formula>
    </cfRule>
    <cfRule type="containsText" priority="48" operator="containsText" aboveAverage="0" equalAverage="0" bottom="0" percent="0" rank="0" text="previsto" dxfId="151">
      <formula>NOT(ISERROR(SEARCH("previsto",J1)))</formula>
    </cfRule>
    <cfRule type="containsText" priority="49" operator="containsText" aboveAverage="0" equalAverage="0" bottom="0" percent="0" rank="0" text="produzindo" dxfId="152">
      <formula>NOT(ISERROR(SEARCH("produzindo",J1)))</formula>
    </cfRule>
    <cfRule type="containsText" priority="50" operator="containsText" aboveAverage="0" equalAverage="0" bottom="0" percent="0" rank="0" text="material ok" dxfId="153">
      <formula>NOT(ISERROR(SEARCH("material ok",J1)))</formula>
    </cfRule>
  </conditionalFormatting>
  <conditionalFormatting sqref="N65:N66 N1:N3 N88 N90:N95 N99 N101:N103 N114 N121:N163">
    <cfRule type="containsText" priority="51" operator="containsText" aboveAverage="0" equalAverage="0" bottom="0" percent="0" rank="0" text="a montar" dxfId="154">
      <formula>NOT(ISERROR(SEARCH("a montar",N1)))</formula>
    </cfRule>
  </conditionalFormatting>
  <conditionalFormatting sqref="N1:N3 N65:N66 N88 N90:N95 N99 N101:N103 N114 N121:N163">
    <cfRule type="containsText" priority="52" operator="containsText" aboveAverage="0" equalAverage="0" bottom="0" percent="0" rank="0" text="a serrar" dxfId="155">
      <formula>NOT(ISERROR(SEARCH("a serrar",N1)))</formula>
    </cfRule>
    <cfRule type="containsText" priority="53" operator="containsText" aboveAverage="0" equalAverage="0" bottom="0" percent="0" rank="0" text="pronto" dxfId="156">
      <formula>NOT(ISERROR(SEARCH("pronto",N1)))</formula>
    </cfRule>
    <cfRule type="containsText" priority="54" operator="containsText" aboveAverage="0" equalAverage="0" bottom="0" percent="0" rank="0" text="empreita" dxfId="157">
      <formula>NOT(ISERROR(SEARCH("empreita",N1)))</formula>
    </cfRule>
    <cfRule type="containsText" priority="55" operator="containsText" aboveAverage="0" equalAverage="0" bottom="0" percent="0" rank="0" text="previsto" dxfId="158">
      <formula>NOT(ISERROR(SEARCH("previsto",N1)))</formula>
    </cfRule>
    <cfRule type="containsText" priority="56" operator="containsText" aboveAverage="0" equalAverage="0" bottom="0" percent="0" rank="0" text="produzindo" dxfId="159">
      <formula>NOT(ISERROR(SEARCH("produzindo",N1)))</formula>
    </cfRule>
    <cfRule type="containsText" priority="57" operator="containsText" aboveAverage="0" equalAverage="0" bottom="0" percent="0" rank="0" text="material ok" dxfId="160">
      <formula>NOT(ISERROR(SEARCH("material ok",N1)))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41" activeCellId="0" sqref="G4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2" style="0" width="15.28"/>
    <col collapsed="false" customWidth="true" hidden="false" outlineLevel="0" max="3" min="3" style="0" width="15.15"/>
    <col collapsed="false" customWidth="true" hidden="false" outlineLevel="0" max="4" min="4" style="0" width="6.43"/>
    <col collapsed="false" customWidth="true" hidden="false" outlineLevel="0" max="5" min="5" style="0" width="14.86"/>
    <col collapsed="false" customWidth="true" hidden="false" outlineLevel="0" max="6" min="6" style="0" width="10.43"/>
    <col collapsed="false" customWidth="true" hidden="false" outlineLevel="0" max="7" min="7" style="0" width="11.15"/>
    <col collapsed="false" customWidth="true" hidden="false" outlineLevel="0" max="8" min="8" style="0" width="7.57"/>
    <col collapsed="false" customWidth="true" hidden="false" outlineLevel="0" max="9" min="9" style="0" width="9.86"/>
    <col collapsed="false" customWidth="true" hidden="false" outlineLevel="0" max="10" min="10" style="0" width="8.72"/>
    <col collapsed="false" customWidth="true" hidden="false" outlineLevel="0" max="11" min="11" style="0" width="11.86"/>
    <col collapsed="false" customWidth="true" hidden="false" outlineLevel="0" max="12" min="12" style="0" width="6.14"/>
    <col collapsed="false" customWidth="true" hidden="false" outlineLevel="0" max="13" min="13" style="0" width="13.71"/>
    <col collapsed="false" customWidth="true" hidden="false" outlineLevel="0" max="14" min="14" style="0" width="12.14"/>
    <col collapsed="false" customWidth="true" hidden="false" outlineLevel="0" max="15" min="15" style="0" width="13.43"/>
    <col collapsed="false" customWidth="true" hidden="false" outlineLevel="0" max="16" min="16" style="0" width="12.72"/>
    <col collapsed="false" customWidth="true" hidden="false" outlineLevel="0" max="18" min="18" style="0" width="13.57"/>
  </cols>
  <sheetData>
    <row r="1" customFormat="false" ht="16.4" hidden="false" customHeight="false" outlineLevel="0" collapsed="false">
      <c r="A1" s="1"/>
      <c r="C1" s="2"/>
      <c r="D1" s="1"/>
      <c r="F1" s="1"/>
      <c r="G1" s="1"/>
      <c r="H1" s="1"/>
      <c r="I1" s="1"/>
      <c r="J1" s="3" t="s">
        <v>0</v>
      </c>
      <c r="K1" s="4" t="s">
        <v>1</v>
      </c>
      <c r="L1" s="5" t="s">
        <v>2</v>
      </c>
      <c r="M1" s="6" t="s">
        <v>3</v>
      </c>
      <c r="N1" s="3" t="s">
        <v>4</v>
      </c>
      <c r="O1" s="7" t="s">
        <v>5</v>
      </c>
      <c r="P1" s="8" t="s">
        <v>6</v>
      </c>
      <c r="Q1" s="9" t="s">
        <v>3</v>
      </c>
      <c r="R1" s="10"/>
      <c r="S1" s="11"/>
    </row>
    <row r="2" customFormat="false" ht="15" hidden="false" customHeight="false" outlineLevel="0" collapsed="false">
      <c r="A2" s="1"/>
      <c r="C2" s="2"/>
      <c r="D2" s="1"/>
      <c r="F2" s="1"/>
      <c r="G2" s="1"/>
      <c r="H2" s="1"/>
      <c r="I2" s="1"/>
      <c r="J2" s="1"/>
      <c r="K2" s="12"/>
      <c r="L2" s="13"/>
      <c r="M2" s="14"/>
      <c r="N2" s="15"/>
      <c r="O2" s="10"/>
      <c r="P2" s="1"/>
      <c r="Q2" s="11"/>
      <c r="R2" s="10"/>
      <c r="S2" s="11"/>
    </row>
    <row r="3" customFormat="false" ht="16.4" hidden="false" customHeight="false" outlineLevel="0" collapsed="false">
      <c r="A3" s="16" t="s">
        <v>7</v>
      </c>
      <c r="B3" s="16" t="s">
        <v>8</v>
      </c>
      <c r="C3" s="16" t="s">
        <v>9</v>
      </c>
      <c r="D3" s="16"/>
      <c r="E3" s="16" t="s">
        <v>10</v>
      </c>
      <c r="F3" s="16" t="s">
        <v>11</v>
      </c>
      <c r="G3" s="16" t="s">
        <v>12</v>
      </c>
      <c r="H3" s="17" t="s">
        <v>13</v>
      </c>
      <c r="I3" s="16" t="s">
        <v>14</v>
      </c>
      <c r="J3" s="16" t="s">
        <v>15</v>
      </c>
      <c r="K3" s="16" t="s">
        <v>16</v>
      </c>
      <c r="L3" s="18" t="s">
        <v>17</v>
      </c>
      <c r="M3" s="18" t="s">
        <v>18</v>
      </c>
      <c r="N3" s="19" t="s">
        <v>19</v>
      </c>
      <c r="O3" s="18"/>
      <c r="P3" s="16" t="s">
        <v>20</v>
      </c>
      <c r="Q3" s="20"/>
      <c r="R3" s="21"/>
      <c r="S3" s="16" t="s">
        <v>21</v>
      </c>
    </row>
    <row r="4" customFormat="false" ht="16.4" hidden="false" customHeight="false" outlineLevel="0" collapsed="false">
      <c r="A4" s="1" t="n">
        <v>6054</v>
      </c>
      <c r="B4" s="0" t="s">
        <v>123</v>
      </c>
      <c r="C4" s="0" t="s">
        <v>42</v>
      </c>
      <c r="D4" s="1" t="s">
        <v>37</v>
      </c>
      <c r="E4" s="0" t="s">
        <v>38</v>
      </c>
      <c r="F4" s="1" t="n">
        <v>2.38</v>
      </c>
      <c r="G4" s="1" t="n">
        <v>2.38</v>
      </c>
      <c r="H4" s="1" t="n">
        <f aca="false">-((G4*100/F4)-100)</f>
        <v>-0</v>
      </c>
      <c r="I4" s="33" t="n">
        <v>381</v>
      </c>
      <c r="J4" s="1" t="n">
        <f aca="false">(F4-G4)*I4</f>
        <v>0</v>
      </c>
      <c r="K4" s="1" t="n">
        <f aca="false">G4*I4</f>
        <v>906.78</v>
      </c>
      <c r="L4" s="10"/>
      <c r="M4" s="32" t="n">
        <v>3204</v>
      </c>
      <c r="N4" s="3" t="s">
        <v>4</v>
      </c>
      <c r="O4" s="32" t="n">
        <f aca="false">M4</f>
        <v>3204</v>
      </c>
      <c r="P4" s="0" t="s">
        <v>29</v>
      </c>
      <c r="R4" s="10" t="n">
        <f aca="false">(O4-L4)/G4</f>
        <v>1346.21848739496</v>
      </c>
    </row>
    <row r="5" customFormat="false" ht="15" hidden="false" customHeight="false" outlineLevel="0" collapsed="false">
      <c r="A5" s="1"/>
      <c r="D5" s="1"/>
      <c r="F5" s="1"/>
      <c r="G5" s="1"/>
      <c r="H5" s="1"/>
      <c r="I5" s="1"/>
      <c r="J5" s="1"/>
      <c r="K5" s="1" t="n">
        <f aca="false">G5*I5</f>
        <v>0</v>
      </c>
      <c r="L5" s="10"/>
      <c r="M5" s="32"/>
      <c r="N5" s="3"/>
      <c r="O5" s="32"/>
      <c r="R5" s="10"/>
    </row>
    <row r="6" customFormat="false" ht="16.4" hidden="false" customHeight="false" outlineLevel="0" collapsed="false">
      <c r="A6" s="1" t="n">
        <v>6110</v>
      </c>
      <c r="B6" s="0" t="s">
        <v>124</v>
      </c>
      <c r="C6" s="0" t="s">
        <v>34</v>
      </c>
      <c r="D6" s="1" t="s">
        <v>24</v>
      </c>
      <c r="E6" s="0" t="s">
        <v>125</v>
      </c>
      <c r="F6" s="1" t="n">
        <v>0.54</v>
      </c>
      <c r="G6" s="1" t="n">
        <v>0.54</v>
      </c>
      <c r="H6" s="1" t="n">
        <f aca="false">-((G6*100/F6)-100)</f>
        <v>-0</v>
      </c>
      <c r="I6" s="33" t="n">
        <v>125</v>
      </c>
      <c r="J6" s="1" t="n">
        <f aca="false">(F6-G6)*I6</f>
        <v>0</v>
      </c>
      <c r="K6" s="1" t="n">
        <f aca="false">G6*I6</f>
        <v>67.5</v>
      </c>
      <c r="L6" s="10"/>
      <c r="M6" s="32" t="n">
        <v>200</v>
      </c>
      <c r="N6" s="3" t="s">
        <v>4</v>
      </c>
      <c r="O6" s="32" t="n">
        <v>200</v>
      </c>
      <c r="P6" s="0" t="s">
        <v>26</v>
      </c>
      <c r="R6" s="10" t="n">
        <f aca="false">(O6-L6)/G6</f>
        <v>370.37037037037</v>
      </c>
    </row>
    <row r="7" customFormat="false" ht="15" hidden="false" customHeight="false" outlineLevel="0" collapsed="false">
      <c r="A7" s="1"/>
      <c r="D7" s="1"/>
      <c r="F7" s="1"/>
      <c r="G7" s="1"/>
      <c r="H7" s="1"/>
      <c r="I7" s="1"/>
      <c r="J7" s="1"/>
      <c r="K7" s="1" t="n">
        <f aca="false">G7*I7</f>
        <v>0</v>
      </c>
      <c r="L7" s="10"/>
      <c r="M7" s="32"/>
      <c r="N7" s="12"/>
      <c r="O7" s="32"/>
      <c r="R7" s="10"/>
    </row>
    <row r="8" customFormat="false" ht="16.4" hidden="false" customHeight="false" outlineLevel="0" collapsed="false">
      <c r="A8" s="1" t="n">
        <v>6080</v>
      </c>
      <c r="B8" s="0" t="s">
        <v>111</v>
      </c>
      <c r="C8" s="0" t="s">
        <v>126</v>
      </c>
      <c r="D8" s="1" t="s">
        <v>53</v>
      </c>
      <c r="E8" s="0" t="s">
        <v>127</v>
      </c>
      <c r="F8" s="1" t="n">
        <v>0.83</v>
      </c>
      <c r="G8" s="1" t="n">
        <v>0.83</v>
      </c>
      <c r="H8" s="1" t="n">
        <f aca="false">-((G8*100/F8)-100)</f>
        <v>-0</v>
      </c>
      <c r="I8" s="33" t="n">
        <v>350</v>
      </c>
      <c r="J8" s="1" t="n">
        <f aca="false">(F8-G8)*I8</f>
        <v>0</v>
      </c>
      <c r="K8" s="1" t="n">
        <f aca="false">G8*I8</f>
        <v>290.5</v>
      </c>
      <c r="M8" s="23" t="n">
        <v>1527</v>
      </c>
      <c r="N8" s="3" t="s">
        <v>4</v>
      </c>
      <c r="O8" s="23" t="n">
        <v>1527</v>
      </c>
      <c r="P8" s="0" t="s">
        <v>26</v>
      </c>
      <c r="R8" s="10" t="n">
        <f aca="false">(O8-L8)/G8</f>
        <v>1839.75903614458</v>
      </c>
    </row>
    <row r="9" customFormat="false" ht="16.4" hidden="false" customHeight="false" outlineLevel="0" collapsed="false">
      <c r="A9" s="1" t="n">
        <v>6080</v>
      </c>
      <c r="B9" s="0" t="s">
        <v>111</v>
      </c>
      <c r="C9" s="0" t="s">
        <v>128</v>
      </c>
      <c r="D9" s="1" t="s">
        <v>53</v>
      </c>
      <c r="E9" s="0" t="s">
        <v>127</v>
      </c>
      <c r="F9" s="1" t="n">
        <v>0.62</v>
      </c>
      <c r="G9" s="1" t="n">
        <v>0.62</v>
      </c>
      <c r="H9" s="1" t="n">
        <f aca="false">-((G9*100/F9)-100)</f>
        <v>-0</v>
      </c>
      <c r="I9" s="33" t="n">
        <v>350</v>
      </c>
      <c r="J9" s="1" t="n">
        <f aca="false">(F9-G9)*I9</f>
        <v>0</v>
      </c>
      <c r="K9" s="1" t="n">
        <f aca="false">G9*I9</f>
        <v>217</v>
      </c>
      <c r="M9" s="23" t="n">
        <v>1140</v>
      </c>
      <c r="N9" s="3" t="s">
        <v>4</v>
      </c>
      <c r="O9" s="23" t="n">
        <v>1140</v>
      </c>
      <c r="P9" s="0" t="s">
        <v>26</v>
      </c>
      <c r="R9" s="10" t="n">
        <f aca="false">(O9-L9)/G9</f>
        <v>1838.70967741935</v>
      </c>
    </row>
    <row r="10" customFormat="false" ht="15" hidden="false" customHeight="false" outlineLevel="0" collapsed="false">
      <c r="K10" s="1" t="n">
        <f aca="false">G10*I10</f>
        <v>0</v>
      </c>
      <c r="M10" s="23"/>
      <c r="O10" s="23"/>
    </row>
    <row r="11" customFormat="false" ht="16.4" hidden="false" customHeight="false" outlineLevel="0" collapsed="false">
      <c r="A11" s="1" t="n">
        <v>6054</v>
      </c>
      <c r="B11" s="0" t="s">
        <v>123</v>
      </c>
      <c r="C11" s="0" t="s">
        <v>129</v>
      </c>
      <c r="D11" s="1" t="s">
        <v>53</v>
      </c>
      <c r="E11" s="0" t="s">
        <v>54</v>
      </c>
      <c r="F11" s="1" t="n">
        <v>1.51</v>
      </c>
      <c r="G11" s="1" t="n">
        <v>1.51</v>
      </c>
      <c r="H11" s="1" t="n">
        <f aca="false">-((G11*100/F11)-100)</f>
        <v>-0</v>
      </c>
      <c r="I11" s="33" t="n">
        <v>530</v>
      </c>
      <c r="J11" s="1" t="n">
        <f aca="false">(F11-G11)*I11</f>
        <v>0</v>
      </c>
      <c r="K11" s="1" t="n">
        <f aca="false">G11*I11</f>
        <v>800.3</v>
      </c>
      <c r="L11" s="10"/>
      <c r="M11" s="32" t="n">
        <v>2574</v>
      </c>
      <c r="N11" s="3" t="s">
        <v>4</v>
      </c>
      <c r="O11" s="32" t="n">
        <f aca="false">M11</f>
        <v>2574</v>
      </c>
      <c r="P11" s="0" t="s">
        <v>26</v>
      </c>
      <c r="R11" s="10" t="n">
        <f aca="false">(O11-L11)/G11</f>
        <v>1704.6357615894</v>
      </c>
    </row>
    <row r="12" customFormat="false" ht="15" hidden="false" customHeight="false" outlineLevel="0" collapsed="false">
      <c r="A12" s="1"/>
      <c r="D12" s="1"/>
      <c r="F12" s="1"/>
      <c r="G12" s="1"/>
      <c r="H12" s="1"/>
      <c r="I12" s="1"/>
      <c r="J12" s="1"/>
      <c r="K12" s="1" t="n">
        <f aca="false">G12*I12</f>
        <v>0</v>
      </c>
      <c r="L12" s="10"/>
      <c r="M12" s="32"/>
      <c r="N12" s="26"/>
      <c r="O12" s="32"/>
      <c r="R12" s="10"/>
    </row>
    <row r="13" customFormat="false" ht="16.4" hidden="false" customHeight="false" outlineLevel="0" collapsed="false">
      <c r="A13" s="1" t="n">
        <v>6063</v>
      </c>
      <c r="B13" s="0" t="s">
        <v>82</v>
      </c>
      <c r="C13" s="0" t="s">
        <v>130</v>
      </c>
      <c r="D13" s="1" t="s">
        <v>24</v>
      </c>
      <c r="E13" s="0" t="s">
        <v>83</v>
      </c>
      <c r="F13" s="1" t="n">
        <v>8.47</v>
      </c>
      <c r="G13" s="1" t="n">
        <v>8.52</v>
      </c>
      <c r="H13" s="1" t="n">
        <f aca="false">-((G13*100/F13)-100)</f>
        <v>-0.590318772136953</v>
      </c>
      <c r="I13" s="33" t="n">
        <v>205</v>
      </c>
      <c r="J13" s="1" t="n">
        <f aca="false">(F13-G13)*I13</f>
        <v>-10.2499999999998</v>
      </c>
      <c r="K13" s="1" t="n">
        <f aca="false">G13*I13</f>
        <v>1746.6</v>
      </c>
      <c r="L13" s="10"/>
      <c r="M13" s="32" t="n">
        <v>10038</v>
      </c>
      <c r="N13" s="1" t="s">
        <v>4</v>
      </c>
      <c r="O13" s="32" t="n">
        <v>10038</v>
      </c>
      <c r="P13" s="0" t="s">
        <v>26</v>
      </c>
      <c r="R13" s="10" t="n">
        <f aca="false">(O13-L13)/G13</f>
        <v>1178.16901408451</v>
      </c>
    </row>
    <row r="14" customFormat="false" ht="15" hidden="false" customHeight="false" outlineLevel="0" collapsed="false">
      <c r="K14" s="1" t="n">
        <f aca="false">G14*I14</f>
        <v>0</v>
      </c>
      <c r="M14" s="23"/>
      <c r="N14" s="26"/>
      <c r="O14" s="23"/>
    </row>
    <row r="15" customFormat="false" ht="16.4" hidden="false" customHeight="false" outlineLevel="0" collapsed="false">
      <c r="A15" s="1" t="n">
        <v>6095</v>
      </c>
      <c r="B15" s="0" t="s">
        <v>119</v>
      </c>
      <c r="C15" s="0" t="s">
        <v>59</v>
      </c>
      <c r="D15" s="1" t="s">
        <v>53</v>
      </c>
      <c r="E15" s="0" t="s">
        <v>131</v>
      </c>
      <c r="F15" s="1" t="n">
        <v>9.43</v>
      </c>
      <c r="G15" s="1" t="n">
        <v>9.43</v>
      </c>
      <c r="H15" s="1" t="n">
        <f aca="false">-((G15*100/F15)-100)</f>
        <v>-0</v>
      </c>
      <c r="I15" s="33" t="n">
        <v>641</v>
      </c>
      <c r="J15" s="1" t="n">
        <f aca="false">(F15-G15)*I15</f>
        <v>0</v>
      </c>
      <c r="K15" s="1" t="n">
        <f aca="false">G15*I15</f>
        <v>6044.63</v>
      </c>
      <c r="M15" s="23" t="n">
        <v>20133</v>
      </c>
      <c r="N15" s="3" t="s">
        <v>4</v>
      </c>
      <c r="O15" s="23" t="n">
        <v>20133</v>
      </c>
      <c r="P15" s="0" t="s">
        <v>29</v>
      </c>
      <c r="R15" s="10" t="n">
        <f aca="false">(O15-L15)/G15</f>
        <v>2134.99469777306</v>
      </c>
    </row>
    <row r="16" customFormat="false" ht="15" hidden="false" customHeight="false" outlineLevel="0" collapsed="false">
      <c r="K16" s="1" t="n">
        <f aca="false">G16*I16</f>
        <v>0</v>
      </c>
      <c r="M16" s="23"/>
      <c r="O16" s="23"/>
    </row>
    <row r="17" customFormat="false" ht="16.4" hidden="false" customHeight="false" outlineLevel="0" collapsed="false">
      <c r="A17" s="1" t="n">
        <v>6105</v>
      </c>
      <c r="B17" s="0" t="s">
        <v>33</v>
      </c>
      <c r="C17" s="0" t="s">
        <v>34</v>
      </c>
      <c r="D17" s="1" t="s">
        <v>132</v>
      </c>
      <c r="E17" s="0" t="s">
        <v>35</v>
      </c>
      <c r="F17" s="1" t="n">
        <v>2.9</v>
      </c>
      <c r="G17" s="1" t="n">
        <v>2.9</v>
      </c>
      <c r="H17" s="1" t="n">
        <f aca="false">-((G17*100/F17)-100)</f>
        <v>-0</v>
      </c>
      <c r="I17" s="33" t="n">
        <v>250</v>
      </c>
      <c r="J17" s="1" t="n">
        <f aca="false">(F17-G17)*I17</f>
        <v>0</v>
      </c>
      <c r="K17" s="1" t="n">
        <f aca="false">G17*I17</f>
        <v>725</v>
      </c>
      <c r="M17" s="23" t="n">
        <v>3321</v>
      </c>
      <c r="N17" s="1" t="s">
        <v>4</v>
      </c>
      <c r="O17" s="23" t="n">
        <v>3321</v>
      </c>
      <c r="P17" s="0" t="s">
        <v>26</v>
      </c>
      <c r="R17" s="10" t="n">
        <f aca="false">(O17-L17)/G17</f>
        <v>1145.1724137931</v>
      </c>
    </row>
    <row r="18" customFormat="false" ht="15" hidden="false" customHeight="false" outlineLevel="0" collapsed="false">
      <c r="K18" s="1" t="n">
        <f aca="false">G18*I18</f>
        <v>0</v>
      </c>
      <c r="M18" s="23"/>
      <c r="O18" s="23"/>
    </row>
    <row r="19" customFormat="false" ht="16.4" hidden="false" customHeight="false" outlineLevel="0" collapsed="false">
      <c r="A19" s="1" t="n">
        <v>6092</v>
      </c>
      <c r="B19" s="0" t="s">
        <v>133</v>
      </c>
      <c r="C19" s="0" t="s">
        <v>134</v>
      </c>
      <c r="D19" s="1" t="s">
        <v>53</v>
      </c>
      <c r="E19" s="0" t="s">
        <v>64</v>
      </c>
      <c r="F19" s="1" t="n">
        <v>3.13</v>
      </c>
      <c r="G19" s="1" t="n">
        <v>3.13</v>
      </c>
      <c r="H19" s="1" t="n">
        <f aca="false">-((G19*100/F19)-100)</f>
        <v>-0</v>
      </c>
      <c r="I19" s="33" t="n">
        <v>712</v>
      </c>
      <c r="J19" s="1" t="n">
        <f aca="false">(F19-G19)*I19</f>
        <v>0</v>
      </c>
      <c r="K19" s="1" t="n">
        <f aca="false">G19*I19</f>
        <v>2228.56</v>
      </c>
      <c r="M19" s="23" t="n">
        <v>5539</v>
      </c>
      <c r="N19" s="1" t="s">
        <v>4</v>
      </c>
      <c r="O19" s="23" t="n">
        <v>5539</v>
      </c>
      <c r="P19" s="0" t="s">
        <v>26</v>
      </c>
      <c r="R19" s="10" t="n">
        <f aca="false">(O19-L19)/G19</f>
        <v>1769.64856230032</v>
      </c>
    </row>
    <row r="20" customFormat="false" ht="16.4" hidden="false" customHeight="false" outlineLevel="0" collapsed="false">
      <c r="A20" s="1" t="n">
        <v>6092</v>
      </c>
      <c r="B20" s="0" t="s">
        <v>133</v>
      </c>
      <c r="C20" s="0" t="s">
        <v>55</v>
      </c>
      <c r="D20" s="1" t="s">
        <v>53</v>
      </c>
      <c r="E20" s="0" t="s">
        <v>64</v>
      </c>
      <c r="F20" s="1" t="n">
        <v>11.59</v>
      </c>
      <c r="G20" s="1" t="n">
        <v>11.59</v>
      </c>
      <c r="H20" s="1" t="n">
        <f aca="false">-((G20*100/F20)-100)</f>
        <v>-0</v>
      </c>
      <c r="I20" s="33" t="n">
        <v>712</v>
      </c>
      <c r="J20" s="1" t="n">
        <f aca="false">(F20-G20)*I20</f>
        <v>0</v>
      </c>
      <c r="K20" s="1" t="n">
        <f aca="false">G20*I20</f>
        <v>8252.08</v>
      </c>
      <c r="M20" s="23" t="n">
        <v>19717</v>
      </c>
      <c r="N20" s="1" t="s">
        <v>4</v>
      </c>
      <c r="O20" s="23" t="n">
        <v>19717</v>
      </c>
      <c r="P20" s="0" t="s">
        <v>29</v>
      </c>
      <c r="R20" s="10" t="n">
        <f aca="false">(O20-L20)/G20</f>
        <v>1701.20793787748</v>
      </c>
    </row>
    <row r="21" customFormat="false" ht="16.4" hidden="false" customHeight="false" outlineLevel="0" collapsed="false">
      <c r="A21" s="1" t="n">
        <v>6092</v>
      </c>
      <c r="B21" s="0" t="s">
        <v>133</v>
      </c>
      <c r="C21" s="0" t="s">
        <v>42</v>
      </c>
      <c r="D21" s="1" t="s">
        <v>24</v>
      </c>
      <c r="E21" s="0" t="s">
        <v>135</v>
      </c>
      <c r="F21" s="1" t="n">
        <v>1.98</v>
      </c>
      <c r="G21" s="1" t="n">
        <v>1.98</v>
      </c>
      <c r="H21" s="1" t="n">
        <f aca="false">-((G21*100/F21)-100)</f>
        <v>-0</v>
      </c>
      <c r="I21" s="33" t="n">
        <v>250</v>
      </c>
      <c r="J21" s="1" t="n">
        <f aca="false">(F21-G21)*I21</f>
        <v>0</v>
      </c>
      <c r="K21" s="1" t="n">
        <f aca="false">G21*I21</f>
        <v>495</v>
      </c>
      <c r="M21" s="23" t="n">
        <v>3744</v>
      </c>
      <c r="N21" s="1" t="s">
        <v>4</v>
      </c>
      <c r="O21" s="23" t="n">
        <v>3744</v>
      </c>
      <c r="P21" s="0" t="s">
        <v>26</v>
      </c>
      <c r="R21" s="10" t="n">
        <f aca="false">(O21-L21)/G21</f>
        <v>1890.90909090909</v>
      </c>
    </row>
    <row r="22" customFormat="false" ht="16.4" hidden="false" customHeight="false" outlineLevel="0" collapsed="false">
      <c r="A22" s="1" t="n">
        <v>6092</v>
      </c>
      <c r="B22" s="0" t="s">
        <v>133</v>
      </c>
      <c r="C22" s="0" t="s">
        <v>136</v>
      </c>
      <c r="D22" s="1"/>
      <c r="F22" s="1"/>
      <c r="G22" s="1"/>
      <c r="H22" s="1"/>
      <c r="I22" s="1"/>
      <c r="J22" s="1"/>
      <c r="K22" s="1" t="n">
        <f aca="false">G22*I22</f>
        <v>0</v>
      </c>
      <c r="M22" s="23" t="n">
        <v>250</v>
      </c>
      <c r="N22" s="1" t="s">
        <v>4</v>
      </c>
      <c r="O22" s="23" t="n">
        <v>250</v>
      </c>
      <c r="P22" s="0" t="s">
        <v>26</v>
      </c>
      <c r="R22" s="10"/>
    </row>
    <row r="23" customFormat="false" ht="15" hidden="false" customHeight="false" outlineLevel="0" collapsed="false">
      <c r="A23" s="1"/>
      <c r="D23" s="1"/>
      <c r="F23" s="1"/>
      <c r="G23" s="1"/>
      <c r="H23" s="1"/>
      <c r="I23" s="1"/>
      <c r="J23" s="1"/>
      <c r="K23" s="1" t="n">
        <f aca="false">G23*I23</f>
        <v>0</v>
      </c>
      <c r="M23" s="23"/>
      <c r="N23" s="26"/>
      <c r="O23" s="23"/>
      <c r="R23" s="10"/>
    </row>
    <row r="24" customFormat="false" ht="16.4" hidden="false" customHeight="false" outlineLevel="0" collapsed="false">
      <c r="A24" s="1" t="n">
        <v>6103</v>
      </c>
      <c r="B24" s="0" t="s">
        <v>137</v>
      </c>
      <c r="C24" s="0" t="s">
        <v>138</v>
      </c>
      <c r="D24" s="1" t="s">
        <v>37</v>
      </c>
      <c r="E24" s="0" t="s">
        <v>38</v>
      </c>
      <c r="F24" s="1" t="n">
        <v>5.24</v>
      </c>
      <c r="G24" s="1" t="n">
        <v>4.83</v>
      </c>
      <c r="H24" s="1" t="n">
        <f aca="false">-((G24*100/F24)-100)</f>
        <v>7.82442748091603</v>
      </c>
      <c r="I24" s="33" t="n">
        <v>381</v>
      </c>
      <c r="J24" s="1" t="n">
        <f aca="false">(F24-G24)*I24</f>
        <v>156.21</v>
      </c>
      <c r="K24" s="1" t="n">
        <f aca="false">G24*I24</f>
        <v>1840.23</v>
      </c>
      <c r="M24" s="23" t="n">
        <v>8084</v>
      </c>
      <c r="N24" s="1" t="s">
        <v>4</v>
      </c>
      <c r="O24" s="23" t="n">
        <v>8084</v>
      </c>
      <c r="P24" s="0" t="s">
        <v>26</v>
      </c>
      <c r="R24" s="10" t="n">
        <f aca="false">(O24-L24)/G24</f>
        <v>1673.70600414079</v>
      </c>
    </row>
    <row r="25" customFormat="false" ht="15" hidden="false" customHeight="false" outlineLevel="0" collapsed="false">
      <c r="K25" s="1" t="n">
        <f aca="false">G25*I25</f>
        <v>0</v>
      </c>
      <c r="M25" s="23"/>
      <c r="N25" s="12"/>
      <c r="O25" s="23"/>
    </row>
    <row r="26" customFormat="false" ht="16.4" hidden="false" customHeight="false" outlineLevel="0" collapsed="false">
      <c r="A26" s="1" t="n">
        <v>6102</v>
      </c>
      <c r="B26" s="0" t="s">
        <v>139</v>
      </c>
      <c r="C26" s="0" t="s">
        <v>130</v>
      </c>
      <c r="D26" s="1" t="s">
        <v>53</v>
      </c>
      <c r="E26" s="0" t="s">
        <v>54</v>
      </c>
      <c r="F26" s="1" t="n">
        <v>4.72</v>
      </c>
      <c r="G26" s="1" t="n">
        <v>4.72</v>
      </c>
      <c r="H26" s="1" t="n">
        <f aca="false">-((G26*100/F26)-100)</f>
        <v>-0</v>
      </c>
      <c r="I26" s="33" t="n">
        <v>750</v>
      </c>
      <c r="J26" s="1" t="n">
        <f aca="false">(F26-G26)*I26</f>
        <v>0</v>
      </c>
      <c r="K26" s="1" t="n">
        <f aca="false">G26*I26</f>
        <v>3540</v>
      </c>
      <c r="M26" s="23" t="n">
        <v>8669</v>
      </c>
      <c r="N26" s="3" t="s">
        <v>4</v>
      </c>
      <c r="O26" s="23" t="n">
        <v>8669</v>
      </c>
      <c r="P26" s="0" t="s">
        <v>26</v>
      </c>
      <c r="R26" s="10" t="n">
        <f aca="false">(O26-L26)/G26</f>
        <v>1836.65254237288</v>
      </c>
    </row>
    <row r="27" customFormat="false" ht="16.4" hidden="false" customHeight="false" outlineLevel="0" collapsed="false">
      <c r="A27" s="1" t="n">
        <v>6102</v>
      </c>
      <c r="B27" s="0" t="s">
        <v>139</v>
      </c>
      <c r="C27" s="0" t="s">
        <v>130</v>
      </c>
      <c r="D27" s="1" t="s">
        <v>53</v>
      </c>
      <c r="E27" s="0" t="s">
        <v>54</v>
      </c>
      <c r="F27" s="1" t="n">
        <v>4.72</v>
      </c>
      <c r="G27" s="1" t="n">
        <v>4.72</v>
      </c>
      <c r="H27" s="1" t="n">
        <v>0</v>
      </c>
      <c r="I27" s="33" t="n">
        <v>750</v>
      </c>
      <c r="J27" s="1" t="n">
        <v>0</v>
      </c>
      <c r="K27" s="1" t="n">
        <f aca="false">G27*I27</f>
        <v>3540</v>
      </c>
      <c r="M27" s="23" t="n">
        <v>8669</v>
      </c>
      <c r="N27" s="3" t="s">
        <v>4</v>
      </c>
      <c r="O27" s="23" t="n">
        <v>8669</v>
      </c>
      <c r="P27" s="0" t="s">
        <v>29</v>
      </c>
      <c r="R27" s="10"/>
    </row>
    <row r="28" customFormat="false" ht="16.4" hidden="false" customHeight="false" outlineLevel="0" collapsed="false">
      <c r="A28" s="1" t="n">
        <v>6102</v>
      </c>
      <c r="B28" s="0" t="s">
        <v>139</v>
      </c>
      <c r="C28" s="0" t="s">
        <v>140</v>
      </c>
      <c r="D28" s="1" t="s">
        <v>53</v>
      </c>
      <c r="E28" s="0" t="s">
        <v>54</v>
      </c>
      <c r="F28" s="1" t="n">
        <v>1.95</v>
      </c>
      <c r="G28" s="1" t="n">
        <v>1.95</v>
      </c>
      <c r="H28" s="1" t="n">
        <f aca="false">-((G28*100/F28)-100)</f>
        <v>-0</v>
      </c>
      <c r="I28" s="33" t="n">
        <v>750</v>
      </c>
      <c r="J28" s="1" t="n">
        <f aca="false">(F28-G28)*I28</f>
        <v>0</v>
      </c>
      <c r="K28" s="1" t="n">
        <f aca="false">G28*I28</f>
        <v>1462.5</v>
      </c>
      <c r="M28" s="23" t="n">
        <v>3581</v>
      </c>
      <c r="N28" s="3" t="s">
        <v>4</v>
      </c>
      <c r="O28" s="23" t="n">
        <v>3581</v>
      </c>
      <c r="P28" s="0" t="s">
        <v>29</v>
      </c>
      <c r="R28" s="10" t="n">
        <f aca="false">(O28-L28)/G28</f>
        <v>1836.41025641026</v>
      </c>
    </row>
    <row r="29" customFormat="false" ht="16.4" hidden="false" customHeight="false" outlineLevel="0" collapsed="false">
      <c r="A29" s="1" t="n">
        <v>6102</v>
      </c>
      <c r="B29" s="0" t="s">
        <v>139</v>
      </c>
      <c r="C29" s="0" t="s">
        <v>140</v>
      </c>
      <c r="D29" s="1" t="s">
        <v>53</v>
      </c>
      <c r="E29" s="0" t="s">
        <v>54</v>
      </c>
      <c r="F29" s="1" t="n">
        <v>1.95</v>
      </c>
      <c r="G29" s="1" t="n">
        <v>1.95</v>
      </c>
      <c r="H29" s="1" t="n">
        <v>0</v>
      </c>
      <c r="I29" s="33" t="n">
        <v>750</v>
      </c>
      <c r="J29" s="1" t="n">
        <v>0</v>
      </c>
      <c r="K29" s="1" t="n">
        <f aca="false">G29*I29</f>
        <v>1462.5</v>
      </c>
      <c r="M29" s="23" t="n">
        <v>3581</v>
      </c>
      <c r="N29" s="3" t="s">
        <v>4</v>
      </c>
      <c r="O29" s="23" t="n">
        <v>3581</v>
      </c>
      <c r="P29" s="0" t="s">
        <v>26</v>
      </c>
      <c r="R29" s="10"/>
    </row>
    <row r="30" customFormat="false" ht="15" hidden="false" customHeight="false" outlineLevel="0" collapsed="false">
      <c r="K30" s="1" t="n">
        <f aca="false">G30*I30</f>
        <v>0</v>
      </c>
      <c r="M30" s="23"/>
      <c r="O30" s="23"/>
    </row>
    <row r="31" customFormat="false" ht="16.4" hidden="false" customHeight="false" outlineLevel="0" collapsed="false">
      <c r="A31" s="1" t="n">
        <v>6108</v>
      </c>
      <c r="B31" s="0" t="s">
        <v>88</v>
      </c>
      <c r="C31" s="0" t="s">
        <v>55</v>
      </c>
      <c r="D31" s="1" t="s">
        <v>37</v>
      </c>
      <c r="E31" s="0" t="s">
        <v>38</v>
      </c>
      <c r="F31" s="1" t="n">
        <v>6.88</v>
      </c>
      <c r="G31" s="1" t="n">
        <v>6.68</v>
      </c>
      <c r="H31" s="1" t="n">
        <f aca="false">-((G31*100/F31)-100)</f>
        <v>2.90697674418604</v>
      </c>
      <c r="I31" s="33" t="n">
        <v>381</v>
      </c>
      <c r="J31" s="1" t="n">
        <f aca="false">(F31-G31)*I31</f>
        <v>76.2000000000001</v>
      </c>
      <c r="K31" s="1" t="n">
        <f aca="false">G31*I31</f>
        <v>2545.08</v>
      </c>
      <c r="M31" s="23" t="n">
        <v>10990</v>
      </c>
      <c r="N31" s="3" t="s">
        <v>4</v>
      </c>
      <c r="O31" s="23" t="n">
        <v>10990</v>
      </c>
      <c r="P31" s="0" t="s">
        <v>26</v>
      </c>
      <c r="R31" s="10" t="n">
        <f aca="false">(O31-L31)/G31</f>
        <v>1645.20958083832</v>
      </c>
    </row>
    <row r="32" customFormat="false" ht="15" hidden="false" customHeight="false" outlineLevel="0" collapsed="false">
      <c r="F32" s="1"/>
      <c r="K32" s="1" t="n">
        <f aca="false">G32*I32</f>
        <v>0</v>
      </c>
      <c r="M32" s="23"/>
      <c r="O32" s="23"/>
    </row>
    <row r="33" customFormat="false" ht="16.4" hidden="false" customHeight="false" outlineLevel="0" collapsed="false">
      <c r="A33" s="1" t="n">
        <v>6113</v>
      </c>
      <c r="B33" s="0" t="s">
        <v>141</v>
      </c>
      <c r="C33" s="0" t="s">
        <v>142</v>
      </c>
      <c r="D33" s="1" t="s">
        <v>37</v>
      </c>
      <c r="E33" s="0" t="s">
        <v>143</v>
      </c>
      <c r="F33" s="1" t="n">
        <v>0.81</v>
      </c>
      <c r="G33" s="1" t="n">
        <v>0.81</v>
      </c>
      <c r="H33" s="1" t="n">
        <f aca="false">-((G33*100/F33)-100)</f>
        <v>-0</v>
      </c>
      <c r="I33" s="33" t="n">
        <v>450</v>
      </c>
      <c r="J33" s="1" t="n">
        <f aca="false">(F33-G33)*I33</f>
        <v>0</v>
      </c>
      <c r="K33" s="1" t="n">
        <f aca="false">G33*I33</f>
        <v>364.5</v>
      </c>
      <c r="M33" s="23" t="n">
        <v>1258</v>
      </c>
      <c r="N33" s="3" t="s">
        <v>4</v>
      </c>
      <c r="O33" s="23" t="n">
        <v>1258</v>
      </c>
      <c r="P33" s="0" t="s">
        <v>29</v>
      </c>
      <c r="R33" s="10" t="n">
        <f aca="false">(O33-L33)/G33</f>
        <v>1553.08641975309</v>
      </c>
    </row>
    <row r="34" customFormat="false" ht="16.4" hidden="false" customHeight="false" outlineLevel="0" collapsed="false">
      <c r="A34" s="1" t="n">
        <v>6113</v>
      </c>
      <c r="B34" s="0" t="s">
        <v>141</v>
      </c>
      <c r="C34" s="0" t="s">
        <v>144</v>
      </c>
      <c r="D34" s="1" t="s">
        <v>37</v>
      </c>
      <c r="E34" s="0" t="s">
        <v>143</v>
      </c>
      <c r="F34" s="1" t="n">
        <v>0.91</v>
      </c>
      <c r="G34" s="1" t="n">
        <v>0.91</v>
      </c>
      <c r="H34" s="1" t="n">
        <f aca="false">-((G34*100/F34)-100)</f>
        <v>-0</v>
      </c>
      <c r="I34" s="33" t="n">
        <v>450</v>
      </c>
      <c r="J34" s="1" t="n">
        <f aca="false">(F34-G34)*I34</f>
        <v>0</v>
      </c>
      <c r="K34" s="1" t="n">
        <f aca="false">G34*I34</f>
        <v>409.5</v>
      </c>
      <c r="M34" s="23" t="n">
        <v>1413</v>
      </c>
      <c r="N34" s="3" t="s">
        <v>4</v>
      </c>
      <c r="O34" s="23" t="n">
        <v>1413</v>
      </c>
      <c r="P34" s="0" t="s">
        <v>29</v>
      </c>
      <c r="R34" s="10" t="n">
        <f aca="false">(O34-L34)/G34</f>
        <v>1552.74725274725</v>
      </c>
    </row>
    <row r="35" customFormat="false" ht="15" hidden="false" customHeight="false" outlineLevel="0" collapsed="false">
      <c r="F35" s="1"/>
      <c r="G35" s="1"/>
      <c r="K35" s="1" t="n">
        <f aca="false">G35*I35</f>
        <v>0</v>
      </c>
    </row>
    <row r="36" customFormat="false" ht="16.4" hidden="false" customHeight="false" outlineLevel="0" collapsed="false">
      <c r="A36" s="1" t="n">
        <v>6107</v>
      </c>
      <c r="B36" s="0" t="s">
        <v>145</v>
      </c>
      <c r="C36" s="0" t="s">
        <v>34</v>
      </c>
      <c r="D36" s="1" t="s">
        <v>53</v>
      </c>
      <c r="E36" s="0" t="s">
        <v>146</v>
      </c>
      <c r="F36" s="1" t="n">
        <v>1.46</v>
      </c>
      <c r="G36" s="1" t="n">
        <v>1.46</v>
      </c>
      <c r="H36" s="1" t="n">
        <f aca="false">-((G36*100/F36)-100)</f>
        <v>-0</v>
      </c>
      <c r="I36" s="33" t="n">
        <v>582</v>
      </c>
      <c r="J36" s="1" t="n">
        <f aca="false">(F36-G36)*I36</f>
        <v>0</v>
      </c>
      <c r="K36" s="1" t="n">
        <f aca="false">G36*I36</f>
        <v>849.72</v>
      </c>
      <c r="M36" s="23" t="n">
        <v>2392</v>
      </c>
      <c r="N36" s="3" t="s">
        <v>4</v>
      </c>
      <c r="O36" s="23" t="n">
        <v>2392</v>
      </c>
      <c r="P36" s="0" t="s">
        <v>26</v>
      </c>
      <c r="R36" s="10" t="n">
        <f aca="false">(O36-L36)/G36</f>
        <v>1638.35616438356</v>
      </c>
    </row>
    <row r="37" customFormat="false" ht="15" hidden="false" customHeight="false" outlineLevel="0" collapsed="false">
      <c r="F37" s="1"/>
      <c r="K37" s="1" t="n">
        <f aca="false">G37*I37</f>
        <v>0</v>
      </c>
    </row>
    <row r="38" customFormat="false" ht="16.4" hidden="false" customHeight="false" outlineLevel="0" collapsed="false">
      <c r="A38" s="1" t="n">
        <v>6104</v>
      </c>
      <c r="B38" s="0" t="s">
        <v>147</v>
      </c>
      <c r="C38" s="0" t="s">
        <v>58</v>
      </c>
      <c r="D38" s="1" t="s">
        <v>53</v>
      </c>
      <c r="E38" s="0" t="s">
        <v>54</v>
      </c>
      <c r="F38" s="1" t="n">
        <v>1.46</v>
      </c>
      <c r="G38" s="1" t="n">
        <v>1.46</v>
      </c>
      <c r="H38" s="1" t="n">
        <f aca="false">-((G38*100/F38)-100)</f>
        <v>-0</v>
      </c>
      <c r="I38" s="33" t="n">
        <v>530</v>
      </c>
      <c r="J38" s="1" t="n">
        <f aca="false">(F38-G38)*I38</f>
        <v>0</v>
      </c>
      <c r="K38" s="1" t="n">
        <f aca="false">G38*I38</f>
        <v>773.8</v>
      </c>
      <c r="M38" s="23" t="n">
        <v>2650</v>
      </c>
      <c r="N38" s="3" t="s">
        <v>4</v>
      </c>
      <c r="O38" s="23" t="n">
        <v>2650</v>
      </c>
      <c r="P38" s="0" t="s">
        <v>29</v>
      </c>
      <c r="R38" s="10" t="n">
        <f aca="false">(O38-L38)/G38</f>
        <v>1815.06849315069</v>
      </c>
    </row>
    <row r="39" customFormat="false" ht="16.4" hidden="false" customHeight="false" outlineLevel="0" collapsed="false">
      <c r="A39" s="1" t="n">
        <v>6104</v>
      </c>
      <c r="B39" s="0" t="s">
        <v>147</v>
      </c>
      <c r="C39" s="0" t="s">
        <v>57</v>
      </c>
      <c r="D39" s="1" t="s">
        <v>53</v>
      </c>
      <c r="E39" s="0" t="s">
        <v>54</v>
      </c>
      <c r="F39" s="1" t="n">
        <v>1.01</v>
      </c>
      <c r="G39" s="1" t="n">
        <v>1.01</v>
      </c>
      <c r="H39" s="1" t="n">
        <f aca="false">-((G39*100/F39)-100)</f>
        <v>-0</v>
      </c>
      <c r="I39" s="33" t="n">
        <v>530</v>
      </c>
      <c r="J39" s="1" t="n">
        <f aca="false">(F39-G39)*I39</f>
        <v>0</v>
      </c>
      <c r="K39" s="1" t="n">
        <f aca="false">G39*I39</f>
        <v>535.3</v>
      </c>
      <c r="M39" s="23" t="n">
        <v>1300</v>
      </c>
      <c r="N39" s="3" t="s">
        <v>4</v>
      </c>
      <c r="O39" s="23" t="n">
        <v>1300</v>
      </c>
      <c r="P39" s="0" t="s">
        <v>29</v>
      </c>
      <c r="R39" s="10" t="n">
        <f aca="false">(O39-L39)/G39</f>
        <v>1287.12871287129</v>
      </c>
    </row>
    <row r="40" customFormat="false" ht="15" hidden="false" customHeight="false" outlineLevel="0" collapsed="false">
      <c r="K40" s="1" t="n">
        <f aca="false">G40*I40</f>
        <v>0</v>
      </c>
    </row>
    <row r="41" customFormat="false" ht="16.4" hidden="false" customHeight="false" outlineLevel="0" collapsed="false">
      <c r="A41" s="1" t="n">
        <v>6095</v>
      </c>
      <c r="B41" s="0" t="s">
        <v>119</v>
      </c>
      <c r="C41" s="0" t="s">
        <v>51</v>
      </c>
      <c r="D41" s="1" t="s">
        <v>53</v>
      </c>
      <c r="E41" s="0" t="s">
        <v>131</v>
      </c>
      <c r="F41" s="1" t="n">
        <v>2.14</v>
      </c>
      <c r="G41" s="1" t="n">
        <v>2.14</v>
      </c>
      <c r="H41" s="1" t="n">
        <f aca="false">-((G41*100/F41)-100)</f>
        <v>-0</v>
      </c>
      <c r="I41" s="33" t="n">
        <v>641</v>
      </c>
      <c r="J41" s="1" t="n">
        <f aca="false">(F41-G41)*I41</f>
        <v>0</v>
      </c>
      <c r="K41" s="1" t="n">
        <f aca="false">G41*I41</f>
        <v>1371.74</v>
      </c>
      <c r="M41" s="23" t="n">
        <v>4669</v>
      </c>
      <c r="N41" s="3" t="s">
        <v>4</v>
      </c>
      <c r="O41" s="23" t="n">
        <v>4669</v>
      </c>
      <c r="P41" s="0" t="s">
        <v>29</v>
      </c>
      <c r="R41" s="10" t="n">
        <f aca="false">(O41-L41)/G41</f>
        <v>2181.77570093458</v>
      </c>
    </row>
    <row r="42" customFormat="false" ht="15" hidden="false" customHeight="false" outlineLevel="0" collapsed="false">
      <c r="K42" s="1" t="n">
        <f aca="false">G42*I42</f>
        <v>0</v>
      </c>
    </row>
    <row r="43" customFormat="false" ht="16.4" hidden="false" customHeight="false" outlineLevel="0" collapsed="false">
      <c r="A43" s="1" t="n">
        <v>6095</v>
      </c>
      <c r="B43" s="0" t="s">
        <v>119</v>
      </c>
      <c r="C43" s="0" t="s">
        <v>148</v>
      </c>
      <c r="D43" s="1" t="s">
        <v>53</v>
      </c>
      <c r="E43" s="0" t="s">
        <v>131</v>
      </c>
      <c r="F43" s="1" t="n">
        <v>2.54</v>
      </c>
      <c r="G43" s="1" t="n">
        <v>2.54</v>
      </c>
      <c r="H43" s="1" t="n">
        <f aca="false">-((G43*100/F43)-100)</f>
        <v>-0</v>
      </c>
      <c r="I43" s="33" t="n">
        <v>641</v>
      </c>
      <c r="J43" s="1" t="n">
        <f aca="false">(F43-G43)*I43</f>
        <v>0</v>
      </c>
      <c r="K43" s="1" t="n">
        <f aca="false">G43*I43</f>
        <v>1628.14</v>
      </c>
      <c r="M43" s="23" t="n">
        <v>5439</v>
      </c>
      <c r="N43" s="3" t="s">
        <v>4</v>
      </c>
      <c r="O43" s="23" t="n">
        <v>5439</v>
      </c>
      <c r="P43" s="0" t="s">
        <v>29</v>
      </c>
      <c r="R43" s="10" t="n">
        <f aca="false">(O43-L43)/G43</f>
        <v>2141.33858267717</v>
      </c>
    </row>
    <row r="44" customFormat="false" ht="15" hidden="false" customHeight="false" outlineLevel="0" collapsed="false">
      <c r="K44" s="1" t="n">
        <f aca="false">G44*I44</f>
        <v>0</v>
      </c>
    </row>
    <row r="45" customFormat="false" ht="16.4" hidden="false" customHeight="false" outlineLevel="0" collapsed="false">
      <c r="A45" s="1" t="n">
        <v>6111</v>
      </c>
      <c r="B45" s="0" t="s">
        <v>149</v>
      </c>
      <c r="C45" s="0" t="s">
        <v>55</v>
      </c>
      <c r="D45" s="1" t="s">
        <v>53</v>
      </c>
      <c r="E45" s="0" t="s">
        <v>54</v>
      </c>
      <c r="F45" s="1" t="n">
        <v>7.06</v>
      </c>
      <c r="G45" s="1" t="n">
        <v>7.06</v>
      </c>
      <c r="H45" s="1" t="n">
        <f aca="false">-((G45*100/F45)-100)</f>
        <v>-0</v>
      </c>
      <c r="I45" s="33" t="n">
        <v>765</v>
      </c>
      <c r="J45" s="1" t="n">
        <f aca="false">(F45-G45)*I45</f>
        <v>0</v>
      </c>
      <c r="K45" s="1" t="n">
        <f aca="false">G45*I45</f>
        <v>5400.9</v>
      </c>
      <c r="M45" s="23" t="n">
        <v>15436</v>
      </c>
      <c r="N45" s="3" t="s">
        <v>4</v>
      </c>
      <c r="O45" s="23" t="n">
        <v>15436</v>
      </c>
      <c r="P45" s="0" t="s">
        <v>26</v>
      </c>
      <c r="R45" s="10" t="n">
        <f aca="false">(O45-L45)/G45</f>
        <v>2186.40226628895</v>
      </c>
    </row>
    <row r="46" customFormat="false" ht="15" hidden="false" customHeight="false" outlineLevel="0" collapsed="false">
      <c r="A46" s="1"/>
      <c r="D46" s="1"/>
      <c r="F46" s="1"/>
      <c r="G46" s="1"/>
      <c r="H46" s="1"/>
      <c r="I46" s="1"/>
      <c r="J46" s="1"/>
      <c r="K46" s="1" t="n">
        <f aca="false">G46*I46</f>
        <v>0</v>
      </c>
      <c r="M46" s="32"/>
      <c r="N46" s="3"/>
      <c r="O46" s="32"/>
      <c r="R46" s="10"/>
    </row>
    <row r="47" customFormat="false" ht="16.4" hidden="false" customHeight="false" outlineLevel="0" collapsed="false">
      <c r="A47" s="1" t="n">
        <v>6080</v>
      </c>
      <c r="B47" s="0" t="s">
        <v>111</v>
      </c>
      <c r="C47" s="0" t="s">
        <v>150</v>
      </c>
      <c r="D47" s="1" t="s">
        <v>37</v>
      </c>
      <c r="E47" s="0" t="s">
        <v>151</v>
      </c>
      <c r="F47" s="1" t="n">
        <v>6.8</v>
      </c>
      <c r="G47" s="1" t="n">
        <v>6.8</v>
      </c>
      <c r="H47" s="1" t="n">
        <f aca="false">-((G47*100/F47)-100)</f>
        <v>-0</v>
      </c>
      <c r="I47" s="33" t="n">
        <v>1973.4</v>
      </c>
      <c r="J47" s="1" t="n">
        <f aca="false">(F47-G47)*I47</f>
        <v>0</v>
      </c>
      <c r="K47" s="1" t="n">
        <f aca="false">G47*I47</f>
        <v>13419.12</v>
      </c>
      <c r="M47" s="23" t="n">
        <v>34061</v>
      </c>
      <c r="N47" s="3" t="s">
        <v>4</v>
      </c>
      <c r="O47" s="23" t="n">
        <v>34061</v>
      </c>
      <c r="P47" s="0" t="s">
        <v>29</v>
      </c>
      <c r="R47" s="10" t="n">
        <f aca="false">(O47-L47)/G47</f>
        <v>5008.9705882353</v>
      </c>
    </row>
    <row r="48" customFormat="false" ht="15" hidden="false" customHeight="false" outlineLevel="0" collapsed="false">
      <c r="K48" s="1" t="n">
        <f aca="false">G48*I48</f>
        <v>0</v>
      </c>
    </row>
    <row r="49" customFormat="false" ht="16.4" hidden="false" customHeight="false" outlineLevel="0" collapsed="false">
      <c r="A49" s="1" t="n">
        <v>6086</v>
      </c>
      <c r="B49" s="0" t="s">
        <v>152</v>
      </c>
      <c r="C49" s="0" t="s">
        <v>110</v>
      </c>
      <c r="D49" s="1" t="s">
        <v>53</v>
      </c>
      <c r="E49" s="0" t="s">
        <v>68</v>
      </c>
      <c r="F49" s="1" t="n">
        <v>14.95</v>
      </c>
      <c r="G49" s="1" t="n">
        <v>14.95</v>
      </c>
      <c r="H49" s="1" t="n">
        <f aca="false">-((G49*100/F49)-100)</f>
        <v>-0</v>
      </c>
      <c r="I49" s="33" t="n">
        <v>530</v>
      </c>
      <c r="J49" s="1" t="n">
        <f aca="false">(F49-G49)*I49</f>
        <v>0</v>
      </c>
      <c r="K49" s="1" t="n">
        <f aca="false">G49*I49</f>
        <v>7923.5</v>
      </c>
      <c r="M49" s="23" t="n">
        <v>20000</v>
      </c>
      <c r="N49" s="3" t="s">
        <v>4</v>
      </c>
      <c r="O49" s="23" t="n">
        <v>20000</v>
      </c>
      <c r="P49" s="0" t="s">
        <v>26</v>
      </c>
      <c r="R49" s="10" t="n">
        <f aca="false">(O49-L49)/G49</f>
        <v>1337.79264214047</v>
      </c>
    </row>
    <row r="50" customFormat="false" ht="16.4" hidden="false" customHeight="false" outlineLevel="0" collapsed="false">
      <c r="A50" s="1" t="n">
        <v>6086</v>
      </c>
      <c r="B50" s="0" t="s">
        <v>152</v>
      </c>
      <c r="C50" s="0" t="s">
        <v>110</v>
      </c>
      <c r="D50" s="1" t="s">
        <v>53</v>
      </c>
      <c r="E50" s="0" t="s">
        <v>68</v>
      </c>
      <c r="F50" s="1" t="n">
        <v>14.95</v>
      </c>
      <c r="G50" s="1" t="n">
        <v>14.95</v>
      </c>
      <c r="H50" s="1" t="n">
        <f aca="false">-((G50*100/F50)-100)</f>
        <v>-0</v>
      </c>
      <c r="I50" s="33" t="n">
        <v>530</v>
      </c>
      <c r="J50" s="1" t="n">
        <f aca="false">(F50-G50)*I50</f>
        <v>0</v>
      </c>
      <c r="K50" s="1" t="n">
        <f aca="false">G50*I50</f>
        <v>7923.5</v>
      </c>
      <c r="M50" s="23" t="n">
        <v>20000</v>
      </c>
      <c r="N50" s="3" t="s">
        <v>4</v>
      </c>
      <c r="O50" s="23" t="n">
        <v>20000</v>
      </c>
      <c r="P50" s="0" t="s">
        <v>29</v>
      </c>
      <c r="R50" s="10" t="n">
        <f aca="false">(O50-L50)/G50</f>
        <v>1337.79264214047</v>
      </c>
    </row>
    <row r="52" customFormat="false" ht="15" hidden="false" customHeight="false" outlineLevel="0" collapsed="false">
      <c r="F52" s="1" t="n">
        <f aca="false">SUM(F4:F51)</f>
        <v>122.93</v>
      </c>
      <c r="G52" s="1" t="n">
        <f aca="false">SUM(G4:G51)</f>
        <v>122.37</v>
      </c>
      <c r="J52" s="1" t="n">
        <f aca="false">SUM(J4:J51)</f>
        <v>222.16</v>
      </c>
      <c r="K52" s="1" t="n">
        <f aca="false">SUM(K4:K51)</f>
        <v>76763.98</v>
      </c>
      <c r="M52" s="34" t="n">
        <f aca="false">SUM(M4:M51)</f>
        <v>223579</v>
      </c>
      <c r="N52" s="1"/>
      <c r="O52" s="23"/>
    </row>
    <row r="53" customFormat="false" ht="15" hidden="false" customHeight="false" outlineLevel="0" collapsed="false">
      <c r="M53" s="23"/>
      <c r="N53" s="1"/>
      <c r="O53" s="23"/>
    </row>
    <row r="54" customFormat="false" ht="15" hidden="false" customHeight="false" outlineLevel="0" collapsed="false">
      <c r="M54" s="23"/>
      <c r="N54" s="1"/>
      <c r="O54" s="23"/>
    </row>
    <row r="55" customFormat="false" ht="15" hidden="false" customHeight="false" outlineLevel="0" collapsed="false">
      <c r="M55" s="23"/>
      <c r="N55" s="1"/>
      <c r="O55" s="23"/>
    </row>
    <row r="56" customFormat="false" ht="15" hidden="false" customHeight="false" outlineLevel="0" collapsed="false">
      <c r="M56" s="23"/>
      <c r="N56" s="1"/>
      <c r="O56" s="23"/>
    </row>
    <row r="57" customFormat="false" ht="15" hidden="false" customHeight="false" outlineLevel="0" collapsed="false">
      <c r="M57" s="23"/>
      <c r="N57" s="1"/>
      <c r="O57" s="23"/>
    </row>
    <row r="58" customFormat="false" ht="15" hidden="false" customHeight="false" outlineLevel="0" collapsed="false">
      <c r="A58" s="1"/>
      <c r="D58" s="1"/>
      <c r="F58" s="1"/>
      <c r="G58" s="1"/>
      <c r="H58" s="1"/>
      <c r="J58" s="1"/>
      <c r="K58" s="1"/>
      <c r="M58" s="23"/>
      <c r="N58" s="12"/>
      <c r="O58" s="23"/>
      <c r="R58" s="10"/>
    </row>
    <row r="59" customFormat="false" ht="15" hidden="false" customHeight="false" outlineLevel="0" collapsed="false">
      <c r="A59" s="1"/>
      <c r="D59" s="1"/>
      <c r="F59" s="1"/>
      <c r="G59" s="1"/>
      <c r="H59" s="1"/>
      <c r="J59" s="1"/>
      <c r="K59" s="1"/>
      <c r="M59" s="23"/>
      <c r="N59" s="12"/>
      <c r="O59" s="23"/>
      <c r="R59" s="10"/>
    </row>
    <row r="60" customFormat="false" ht="15" hidden="false" customHeight="false" outlineLevel="0" collapsed="false">
      <c r="M60" s="23"/>
      <c r="N60" s="1"/>
      <c r="O60" s="23"/>
    </row>
    <row r="61" customFormat="false" ht="15" hidden="false" customHeight="false" outlineLevel="0" collapsed="false">
      <c r="A61" s="1"/>
      <c r="D61" s="1"/>
      <c r="F61" s="1"/>
      <c r="G61" s="1"/>
      <c r="H61" s="1"/>
      <c r="I61" s="1"/>
      <c r="J61" s="1"/>
      <c r="K61" s="1"/>
      <c r="M61" s="32"/>
      <c r="N61" s="1"/>
      <c r="O61" s="32"/>
      <c r="R61" s="10"/>
    </row>
    <row r="63" customFormat="false" ht="15" hidden="false" customHeight="false" outlineLevel="0" collapsed="false">
      <c r="A63" s="1"/>
      <c r="D63" s="1"/>
      <c r="F63" s="1"/>
      <c r="G63" s="1"/>
      <c r="H63" s="1"/>
      <c r="I63" s="1"/>
      <c r="J63" s="1"/>
      <c r="K63" s="1"/>
      <c r="M63" s="23"/>
      <c r="N63" s="1"/>
      <c r="O63" s="23"/>
      <c r="R63" s="10"/>
    </row>
    <row r="64" customFormat="false" ht="15" hidden="false" customHeight="false" outlineLevel="0" collapsed="false">
      <c r="F64" s="1"/>
      <c r="G64" s="1"/>
      <c r="I64" s="1"/>
      <c r="M64" s="23"/>
      <c r="O64" s="23"/>
    </row>
    <row r="65" customFormat="false" ht="15" hidden="false" customHeight="false" outlineLevel="0" collapsed="false">
      <c r="A65" s="1"/>
      <c r="D65" s="1"/>
      <c r="F65" s="1"/>
      <c r="G65" s="1"/>
      <c r="H65" s="1"/>
      <c r="I65" s="1"/>
      <c r="J65" s="1"/>
      <c r="K65" s="1"/>
      <c r="L65" s="10"/>
      <c r="M65" s="32"/>
      <c r="N65" s="1"/>
      <c r="O65" s="32"/>
      <c r="R65" s="10"/>
    </row>
    <row r="66" customFormat="false" ht="15" hidden="false" customHeight="false" outlineLevel="0" collapsed="false">
      <c r="F66" s="1"/>
      <c r="G66" s="1"/>
      <c r="I66" s="1"/>
      <c r="M66" s="23"/>
      <c r="O66" s="23"/>
    </row>
    <row r="67" customFormat="false" ht="15" hidden="false" customHeight="false" outlineLevel="0" collapsed="false">
      <c r="A67" s="1"/>
      <c r="D67" s="1"/>
      <c r="F67" s="1"/>
      <c r="G67" s="1"/>
      <c r="H67" s="1"/>
      <c r="I67" s="1"/>
      <c r="J67" s="1"/>
      <c r="K67" s="1"/>
      <c r="L67" s="10"/>
      <c r="M67" s="32"/>
      <c r="N67" s="1"/>
      <c r="O67" s="35"/>
      <c r="R67" s="10"/>
    </row>
    <row r="68" customFormat="false" ht="15" hidden="false" customHeight="false" outlineLevel="0" collapsed="false">
      <c r="A68" s="1"/>
      <c r="C68" s="31"/>
      <c r="D68" s="1"/>
      <c r="F68" s="1"/>
      <c r="G68" s="1"/>
      <c r="H68" s="1"/>
      <c r="I68" s="1"/>
      <c r="J68" s="1"/>
      <c r="K68" s="1"/>
      <c r="L68" s="10"/>
      <c r="M68" s="32"/>
      <c r="N68" s="1"/>
      <c r="O68" s="35"/>
      <c r="R68" s="10"/>
    </row>
    <row r="69" customFormat="false" ht="15" hidden="false" customHeight="false" outlineLevel="0" collapsed="false">
      <c r="F69" s="1"/>
      <c r="G69" s="1"/>
      <c r="I69" s="1"/>
      <c r="M69" s="23"/>
      <c r="O69" s="23"/>
    </row>
    <row r="70" customFormat="false" ht="15" hidden="false" customHeight="false" outlineLevel="0" collapsed="false">
      <c r="A70" s="1"/>
      <c r="D70" s="1"/>
      <c r="F70" s="1"/>
      <c r="G70" s="1"/>
      <c r="H70" s="1"/>
      <c r="I70" s="1"/>
      <c r="J70" s="1"/>
      <c r="K70" s="1"/>
      <c r="M70" s="23"/>
      <c r="N70" s="1"/>
      <c r="O70" s="23"/>
      <c r="R70" s="10"/>
    </row>
    <row r="71" customFormat="false" ht="15" hidden="false" customHeight="false" outlineLevel="0" collapsed="false">
      <c r="A71" s="1"/>
      <c r="D71" s="1"/>
      <c r="F71" s="1"/>
      <c r="G71" s="1"/>
      <c r="H71" s="1"/>
      <c r="I71" s="1"/>
      <c r="J71" s="1"/>
      <c r="K71" s="1"/>
      <c r="M71" s="23"/>
      <c r="N71" s="1"/>
      <c r="O71" s="23"/>
      <c r="R71" s="10"/>
    </row>
    <row r="72" customFormat="false" ht="15" hidden="false" customHeight="false" outlineLevel="0" collapsed="false">
      <c r="A72" s="1"/>
      <c r="D72" s="1"/>
      <c r="F72" s="1"/>
      <c r="G72" s="1"/>
      <c r="H72" s="1"/>
      <c r="I72" s="1"/>
      <c r="J72" s="1"/>
      <c r="K72" s="1"/>
      <c r="M72" s="23"/>
      <c r="N72" s="1"/>
      <c r="O72" s="23"/>
      <c r="R72" s="10"/>
    </row>
    <row r="73" customFormat="false" ht="15" hidden="false" customHeight="false" outlineLevel="0" collapsed="false">
      <c r="A73" s="1"/>
      <c r="D73" s="1"/>
      <c r="F73" s="1"/>
      <c r="G73" s="1"/>
      <c r="H73" s="1"/>
      <c r="I73" s="1"/>
      <c r="J73" s="1"/>
      <c r="K73" s="1"/>
      <c r="M73" s="23"/>
      <c r="N73" s="1"/>
      <c r="O73" s="23"/>
      <c r="R73" s="10"/>
    </row>
    <row r="74" customFormat="false" ht="15" hidden="false" customHeight="false" outlineLevel="0" collapsed="false">
      <c r="A74" s="1"/>
      <c r="D74" s="1"/>
      <c r="F74" s="1"/>
      <c r="G74" s="1"/>
      <c r="H74" s="1"/>
      <c r="I74" s="1"/>
      <c r="J74" s="1"/>
      <c r="K74" s="1"/>
      <c r="M74" s="23"/>
      <c r="N74" s="1"/>
      <c r="O74" s="23"/>
      <c r="R74" s="10"/>
    </row>
    <row r="75" customFormat="false" ht="15" hidden="false" customHeight="false" outlineLevel="0" collapsed="false">
      <c r="A75" s="1"/>
      <c r="D75" s="1"/>
      <c r="F75" s="1"/>
      <c r="G75" s="1"/>
      <c r="H75" s="1"/>
      <c r="I75" s="1"/>
      <c r="J75" s="1"/>
      <c r="K75" s="1"/>
      <c r="M75" s="23"/>
      <c r="N75" s="1"/>
      <c r="O75" s="23"/>
      <c r="R75" s="10"/>
    </row>
    <row r="76" customFormat="false" ht="15" hidden="false" customHeight="false" outlineLevel="0" collapsed="false">
      <c r="A76" s="1"/>
      <c r="D76" s="1"/>
      <c r="F76" s="1"/>
      <c r="G76" s="1"/>
      <c r="H76" s="1"/>
      <c r="I76" s="1"/>
      <c r="J76" s="1"/>
      <c r="K76" s="1"/>
      <c r="M76" s="23"/>
      <c r="N76" s="1"/>
      <c r="O76" s="23"/>
      <c r="R76" s="10"/>
    </row>
    <row r="77" customFormat="false" ht="15" hidden="false" customHeight="false" outlineLevel="0" collapsed="false">
      <c r="A77" s="1"/>
      <c r="D77" s="1"/>
      <c r="F77" s="1"/>
      <c r="G77" s="1"/>
      <c r="H77" s="1"/>
      <c r="I77" s="1"/>
      <c r="J77" s="1"/>
      <c r="K77" s="1"/>
      <c r="M77" s="23"/>
      <c r="N77" s="1"/>
      <c r="O77" s="23"/>
      <c r="R77" s="10"/>
    </row>
    <row r="78" customFormat="false" ht="15" hidden="false" customHeight="false" outlineLevel="0" collapsed="false">
      <c r="A78" s="1"/>
      <c r="D78" s="1"/>
      <c r="F78" s="1"/>
      <c r="G78" s="1"/>
      <c r="H78" s="1"/>
      <c r="I78" s="1"/>
      <c r="J78" s="1"/>
      <c r="K78" s="1"/>
      <c r="M78" s="23"/>
      <c r="N78" s="1"/>
      <c r="O78" s="23"/>
      <c r="R78" s="10"/>
    </row>
    <row r="79" customFormat="false" ht="15" hidden="false" customHeight="false" outlineLevel="0" collapsed="false">
      <c r="A79" s="1"/>
      <c r="D79" s="1"/>
      <c r="F79" s="1"/>
      <c r="G79" s="1"/>
      <c r="H79" s="1"/>
      <c r="I79" s="1"/>
      <c r="J79" s="1"/>
      <c r="K79" s="1"/>
      <c r="M79" s="23"/>
      <c r="N79" s="1"/>
      <c r="O79" s="23"/>
      <c r="R79" s="10"/>
    </row>
    <row r="80" customFormat="false" ht="15" hidden="false" customHeight="false" outlineLevel="0" collapsed="false">
      <c r="A80" s="1"/>
      <c r="D80" s="1"/>
      <c r="F80" s="1"/>
      <c r="G80" s="1"/>
      <c r="H80" s="1"/>
      <c r="I80" s="1"/>
      <c r="J80" s="1"/>
      <c r="K80" s="1"/>
      <c r="M80" s="23"/>
      <c r="N80" s="1"/>
      <c r="O80" s="23"/>
      <c r="R80" s="10"/>
    </row>
    <row r="81" customFormat="false" ht="15" hidden="false" customHeight="false" outlineLevel="0" collapsed="false">
      <c r="A81" s="1"/>
      <c r="D81" s="1"/>
      <c r="F81" s="1"/>
      <c r="G81" s="1"/>
      <c r="H81" s="1"/>
      <c r="J81" s="1"/>
      <c r="K81" s="1"/>
      <c r="M81" s="23"/>
      <c r="N81" s="1"/>
      <c r="O81" s="23"/>
      <c r="R81" s="10"/>
    </row>
    <row r="82" customFormat="false" ht="15" hidden="false" customHeight="false" outlineLevel="0" collapsed="false">
      <c r="A82" s="1"/>
      <c r="D82" s="1"/>
      <c r="F82" s="1"/>
      <c r="G82" s="1"/>
      <c r="H82" s="1"/>
      <c r="I82" s="1"/>
      <c r="J82" s="1"/>
      <c r="K82" s="1"/>
      <c r="M82" s="23"/>
      <c r="N82" s="1"/>
      <c r="O82" s="23"/>
      <c r="R82" s="10"/>
    </row>
    <row r="84" customFormat="false" ht="15" hidden="false" customHeight="false" outlineLevel="0" collapsed="false">
      <c r="A84" s="1"/>
      <c r="D84" s="1"/>
      <c r="F84" s="1"/>
      <c r="G84" s="1"/>
      <c r="H84" s="1"/>
      <c r="I84" s="1"/>
      <c r="J84" s="1"/>
      <c r="K84" s="1"/>
      <c r="M84" s="23"/>
      <c r="N84" s="1"/>
      <c r="O84" s="23"/>
      <c r="R84" s="10"/>
    </row>
    <row r="85" customFormat="false" ht="15" hidden="false" customHeight="false" outlineLevel="0" collapsed="false">
      <c r="A85" s="1"/>
      <c r="D85" s="1"/>
      <c r="F85" s="1"/>
      <c r="G85" s="1"/>
      <c r="H85" s="1"/>
      <c r="I85" s="1"/>
      <c r="J85" s="1"/>
      <c r="K85" s="1"/>
      <c r="M85" s="23"/>
      <c r="N85" s="1"/>
      <c r="O85" s="23"/>
      <c r="R85" s="10"/>
    </row>
    <row r="86" customFormat="false" ht="15" hidden="false" customHeight="false" outlineLevel="0" collapsed="false">
      <c r="A86" s="1"/>
      <c r="D86" s="1"/>
      <c r="F86" s="1"/>
      <c r="G86" s="1"/>
      <c r="H86" s="1"/>
      <c r="I86" s="1"/>
      <c r="J86" s="1"/>
      <c r="K86" s="1"/>
      <c r="M86" s="23"/>
      <c r="N86" s="1"/>
      <c r="O86" s="23"/>
      <c r="R86" s="10"/>
    </row>
    <row r="87" customFormat="false" ht="15" hidden="false" customHeight="false" outlineLevel="0" collapsed="false">
      <c r="A87" s="1"/>
      <c r="D87" s="1"/>
      <c r="F87" s="1"/>
      <c r="G87" s="1"/>
      <c r="H87" s="1"/>
      <c r="I87" s="1"/>
      <c r="J87" s="1"/>
      <c r="K87" s="1"/>
      <c r="M87" s="23"/>
      <c r="N87" s="1"/>
      <c r="O87" s="23"/>
      <c r="R87" s="10"/>
    </row>
    <row r="88" customFormat="false" ht="15" hidden="false" customHeight="false" outlineLevel="0" collapsed="false">
      <c r="A88" s="1"/>
      <c r="D88" s="1"/>
      <c r="F88" s="1"/>
      <c r="G88" s="1"/>
      <c r="H88" s="1"/>
      <c r="I88" s="1"/>
      <c r="J88" s="1"/>
      <c r="K88" s="1"/>
      <c r="M88" s="23"/>
      <c r="N88" s="1"/>
      <c r="O88" s="23"/>
      <c r="R88" s="10"/>
    </row>
    <row r="89" customFormat="false" ht="15" hidden="false" customHeight="false" outlineLevel="0" collapsed="false">
      <c r="A89" s="1"/>
      <c r="D89" s="1"/>
      <c r="F89" s="1"/>
      <c r="G89" s="1"/>
      <c r="H89" s="1"/>
      <c r="I89" s="1"/>
      <c r="J89" s="1"/>
      <c r="K89" s="1"/>
      <c r="M89" s="23"/>
      <c r="N89" s="1"/>
      <c r="O89" s="23"/>
      <c r="R89" s="10"/>
    </row>
    <row r="90" customFormat="false" ht="15" hidden="false" customHeight="false" outlineLevel="0" collapsed="false">
      <c r="A90" s="1"/>
      <c r="D90" s="1"/>
      <c r="F90" s="1"/>
      <c r="G90" s="1"/>
      <c r="H90" s="1"/>
      <c r="J90" s="1"/>
      <c r="K90" s="1"/>
      <c r="M90" s="23"/>
      <c r="N90" s="1"/>
      <c r="O90" s="23"/>
      <c r="R90" s="10"/>
    </row>
    <row r="91" customFormat="false" ht="15" hidden="false" customHeight="false" outlineLevel="0" collapsed="false">
      <c r="A91" s="1"/>
      <c r="D91" s="1"/>
      <c r="F91" s="1"/>
      <c r="H91" s="1"/>
      <c r="I91" s="1"/>
      <c r="J91" s="1"/>
      <c r="K91" s="1"/>
      <c r="M91" s="23"/>
      <c r="N91" s="1"/>
      <c r="O91" s="23"/>
      <c r="R91" s="10"/>
    </row>
    <row r="92" customFormat="false" ht="15" hidden="false" customHeight="false" outlineLevel="0" collapsed="false">
      <c r="A92" s="1"/>
      <c r="H92" s="1"/>
      <c r="J92" s="1"/>
      <c r="K92" s="1"/>
      <c r="M92" s="23"/>
      <c r="N92" s="1"/>
      <c r="O92" s="23"/>
      <c r="R92" s="10"/>
    </row>
    <row r="93" customFormat="false" ht="15" hidden="false" customHeight="false" outlineLevel="0" collapsed="false">
      <c r="A93" s="1"/>
      <c r="D93" s="1"/>
      <c r="H93" s="1"/>
      <c r="I93" s="1"/>
      <c r="J93" s="1"/>
      <c r="K93" s="1"/>
      <c r="M93" s="23"/>
      <c r="N93" s="1"/>
      <c r="O93" s="23"/>
      <c r="R93" s="10"/>
    </row>
    <row r="94" customFormat="false" ht="15" hidden="false" customHeight="false" outlineLevel="0" collapsed="false">
      <c r="A94" s="1"/>
      <c r="D94" s="1"/>
      <c r="H94" s="1"/>
      <c r="J94" s="1"/>
      <c r="K94" s="1"/>
      <c r="M94" s="23"/>
      <c r="N94" s="1"/>
      <c r="O94" s="23"/>
      <c r="R94" s="10"/>
    </row>
    <row r="95" customFormat="false" ht="15" hidden="false" customHeight="false" outlineLevel="0" collapsed="false">
      <c r="A95" s="1"/>
      <c r="D95" s="1"/>
      <c r="H95" s="1"/>
      <c r="I95" s="1"/>
      <c r="J95" s="1"/>
      <c r="K95" s="1"/>
      <c r="M95" s="23"/>
      <c r="N95" s="1"/>
      <c r="O95" s="23"/>
      <c r="R95" s="10"/>
    </row>
    <row r="96" customFormat="false" ht="15" hidden="false" customHeight="false" outlineLevel="0" collapsed="false">
      <c r="A96" s="1"/>
      <c r="D96" s="1"/>
      <c r="H96" s="1"/>
      <c r="I96" s="1"/>
      <c r="J96" s="1"/>
      <c r="K96" s="1"/>
      <c r="M96" s="23"/>
      <c r="N96" s="1"/>
      <c r="O96" s="23"/>
      <c r="R96" s="10"/>
    </row>
    <row r="97" customFormat="false" ht="15" hidden="false" customHeight="false" outlineLevel="0" collapsed="false">
      <c r="A97" s="1"/>
      <c r="D97" s="1"/>
      <c r="H97" s="1"/>
      <c r="I97" s="1"/>
      <c r="J97" s="1"/>
      <c r="K97" s="1"/>
      <c r="M97" s="23"/>
      <c r="N97" s="1"/>
      <c r="O97" s="23"/>
      <c r="R97" s="10"/>
    </row>
    <row r="98" customFormat="false" ht="15" hidden="false" customHeight="false" outlineLevel="0" collapsed="false">
      <c r="A98" s="1"/>
      <c r="D98" s="1"/>
      <c r="H98" s="1"/>
      <c r="I98" s="1"/>
      <c r="J98" s="1"/>
      <c r="K98" s="1"/>
      <c r="M98" s="23"/>
      <c r="N98" s="1"/>
      <c r="O98" s="23"/>
      <c r="R98" s="10"/>
    </row>
    <row r="99" customFormat="false" ht="15" hidden="false" customHeight="false" outlineLevel="0" collapsed="false">
      <c r="A99" s="1"/>
      <c r="D99" s="1"/>
      <c r="H99" s="1"/>
      <c r="I99" s="1"/>
      <c r="J99" s="1"/>
      <c r="K99" s="1"/>
      <c r="M99" s="23"/>
      <c r="N99" s="1"/>
      <c r="O99" s="23"/>
      <c r="R99" s="10"/>
    </row>
    <row r="100" customFormat="false" ht="15" hidden="false" customHeight="false" outlineLevel="0" collapsed="false">
      <c r="A100" s="1"/>
      <c r="D100" s="1"/>
      <c r="H100" s="1"/>
      <c r="I100" s="1"/>
      <c r="J100" s="1"/>
      <c r="K100" s="1"/>
      <c r="M100" s="23"/>
      <c r="N100" s="1"/>
      <c r="O100" s="23"/>
      <c r="R100" s="10"/>
    </row>
    <row r="101" customFormat="false" ht="15" hidden="false" customHeight="false" outlineLevel="0" collapsed="false">
      <c r="A101" s="1"/>
      <c r="D101" s="1"/>
      <c r="H101" s="1"/>
      <c r="I101" s="1"/>
      <c r="J101" s="1"/>
      <c r="K101" s="1"/>
      <c r="M101" s="23"/>
      <c r="N101" s="1"/>
      <c r="O101" s="23"/>
      <c r="R101" s="10"/>
    </row>
    <row r="102" customFormat="false" ht="15" hidden="false" customHeight="false" outlineLevel="0" collapsed="false">
      <c r="A102" s="1"/>
      <c r="D102" s="1"/>
      <c r="H102" s="1"/>
      <c r="I102" s="1"/>
      <c r="J102" s="1"/>
      <c r="K102" s="1"/>
      <c r="M102" s="23"/>
      <c r="N102" s="1"/>
      <c r="O102" s="23"/>
      <c r="R102" s="10"/>
    </row>
    <row r="103" customFormat="false" ht="15" hidden="false" customHeight="false" outlineLevel="0" collapsed="false">
      <c r="A103" s="1"/>
      <c r="D103" s="1"/>
      <c r="H103" s="1"/>
      <c r="I103" s="1"/>
      <c r="J103" s="1"/>
      <c r="K103" s="1"/>
      <c r="M103" s="23"/>
      <c r="N103" s="1"/>
      <c r="O103" s="23"/>
      <c r="R103" s="10"/>
    </row>
    <row r="104" customFormat="false" ht="15" hidden="false" customHeight="false" outlineLevel="0" collapsed="false">
      <c r="A104" s="1"/>
      <c r="D104" s="1"/>
      <c r="H104" s="1"/>
      <c r="I104" s="1"/>
      <c r="J104" s="1"/>
      <c r="K104" s="1"/>
      <c r="M104" s="23"/>
      <c r="N104" s="1"/>
      <c r="O104" s="23"/>
      <c r="R104" s="10"/>
    </row>
    <row r="105" customFormat="false" ht="15" hidden="false" customHeight="false" outlineLevel="0" collapsed="false">
      <c r="A105" s="1"/>
      <c r="D105" s="1"/>
      <c r="H105" s="1"/>
      <c r="I105" s="1"/>
      <c r="J105" s="1"/>
      <c r="K105" s="1"/>
      <c r="M105" s="23"/>
      <c r="N105" s="1"/>
      <c r="O105" s="23"/>
      <c r="R105" s="10"/>
    </row>
    <row r="106" customFormat="false" ht="15" hidden="false" customHeight="false" outlineLevel="0" collapsed="false">
      <c r="A106" s="1"/>
      <c r="D106" s="1"/>
      <c r="H106" s="1"/>
      <c r="I106" s="1"/>
      <c r="J106" s="1"/>
      <c r="K106" s="1"/>
      <c r="M106" s="23"/>
      <c r="N106" s="1"/>
      <c r="O106" s="23"/>
      <c r="R106" s="10"/>
    </row>
    <row r="107" customFormat="false" ht="15" hidden="false" customHeight="false" outlineLevel="0" collapsed="false">
      <c r="A107" s="1"/>
      <c r="D107" s="1"/>
      <c r="H107" s="1"/>
      <c r="I107" s="1"/>
      <c r="J107" s="1"/>
      <c r="K107" s="1"/>
      <c r="M107" s="23"/>
      <c r="N107" s="1"/>
      <c r="O107" s="23"/>
      <c r="R107" s="10"/>
    </row>
    <row r="109" customFormat="false" ht="15" hidden="false" customHeight="false" outlineLevel="0" collapsed="false">
      <c r="A109" s="1"/>
      <c r="D109" s="1"/>
      <c r="H109" s="1"/>
      <c r="I109" s="1"/>
      <c r="J109" s="1"/>
      <c r="K109" s="1"/>
      <c r="M109" s="23"/>
      <c r="N109" s="1"/>
      <c r="O109" s="23"/>
      <c r="R109" s="10"/>
    </row>
    <row r="110" customFormat="false" ht="15" hidden="false" customHeight="false" outlineLevel="0" collapsed="false">
      <c r="A110" s="1"/>
      <c r="D110" s="1"/>
      <c r="H110" s="1"/>
      <c r="I110" s="1"/>
      <c r="J110" s="1"/>
      <c r="K110" s="1"/>
      <c r="M110" s="23"/>
      <c r="N110" s="1"/>
      <c r="O110" s="23"/>
      <c r="R110" s="10"/>
    </row>
    <row r="111" customFormat="false" ht="15" hidden="false" customHeight="false" outlineLevel="0" collapsed="false">
      <c r="A111" s="1"/>
      <c r="D111" s="1"/>
      <c r="H111" s="1"/>
      <c r="I111" s="1"/>
      <c r="J111" s="1"/>
      <c r="K111" s="1"/>
      <c r="M111" s="23"/>
      <c r="N111" s="1"/>
      <c r="O111" s="23"/>
      <c r="R111" s="10"/>
    </row>
    <row r="112" customFormat="false" ht="15" hidden="false" customHeight="false" outlineLevel="0" collapsed="false">
      <c r="A112" s="1"/>
      <c r="D112" s="1"/>
      <c r="H112" s="1"/>
      <c r="I112" s="1"/>
      <c r="J112" s="1"/>
      <c r="K112" s="1"/>
      <c r="M112" s="23"/>
      <c r="N112" s="1"/>
      <c r="O112" s="23"/>
      <c r="R112" s="10"/>
    </row>
    <row r="113" customFormat="false" ht="15" hidden="false" customHeight="false" outlineLevel="0" collapsed="false">
      <c r="A113" s="1"/>
      <c r="D113" s="1"/>
      <c r="H113" s="1"/>
      <c r="J113" s="1"/>
      <c r="K113" s="1"/>
      <c r="M113" s="23"/>
      <c r="N113" s="1"/>
      <c r="O113" s="23"/>
      <c r="R113" s="10"/>
    </row>
    <row r="114" customFormat="false" ht="15" hidden="false" customHeight="false" outlineLevel="0" collapsed="false">
      <c r="A114" s="1"/>
      <c r="D114" s="1"/>
      <c r="H114" s="1"/>
      <c r="J114" s="1"/>
      <c r="K114" s="1"/>
      <c r="M114" s="23"/>
      <c r="N114" s="1"/>
      <c r="O114" s="23"/>
      <c r="R114" s="10"/>
    </row>
    <row r="115" customFormat="false" ht="15" hidden="false" customHeight="false" outlineLevel="0" collapsed="false">
      <c r="A115" s="1"/>
      <c r="D115" s="1"/>
      <c r="H115" s="1"/>
      <c r="J115" s="1"/>
      <c r="K115" s="1"/>
      <c r="M115" s="23"/>
      <c r="N115" s="1"/>
      <c r="O115" s="23"/>
      <c r="R115" s="10"/>
    </row>
    <row r="116" customFormat="false" ht="15" hidden="false" customHeight="false" outlineLevel="0" collapsed="false">
      <c r="A116" s="1"/>
      <c r="D116" s="1"/>
      <c r="H116" s="1"/>
      <c r="J116" s="1"/>
      <c r="K116" s="1"/>
      <c r="M116" s="23"/>
      <c r="N116" s="1"/>
      <c r="O116" s="23"/>
      <c r="R116" s="10"/>
    </row>
    <row r="117" customFormat="false" ht="15" hidden="false" customHeight="false" outlineLevel="0" collapsed="false">
      <c r="A117" s="1"/>
      <c r="D117" s="1"/>
      <c r="H117" s="1"/>
      <c r="J117" s="1"/>
      <c r="K117" s="1"/>
      <c r="M117" s="23"/>
      <c r="N117" s="1"/>
      <c r="O117" s="23"/>
      <c r="R117" s="10"/>
    </row>
    <row r="118" customFormat="false" ht="15" hidden="false" customHeight="false" outlineLevel="0" collapsed="false">
      <c r="A118" s="1"/>
      <c r="D118" s="1"/>
      <c r="H118" s="1"/>
      <c r="J118" s="1"/>
      <c r="K118" s="1"/>
      <c r="M118" s="23"/>
      <c r="N118" s="1"/>
      <c r="O118" s="23"/>
      <c r="R118" s="10"/>
    </row>
    <row r="119" customFormat="false" ht="15" hidden="false" customHeight="false" outlineLevel="0" collapsed="false">
      <c r="A119" s="1"/>
      <c r="D119" s="1"/>
      <c r="H119" s="1"/>
      <c r="J119" s="1"/>
      <c r="K119" s="1"/>
      <c r="M119" s="23"/>
      <c r="N119" s="1"/>
      <c r="O119" s="23"/>
      <c r="R119" s="10"/>
    </row>
    <row r="120" customFormat="false" ht="15" hidden="false" customHeight="false" outlineLevel="0" collapsed="false">
      <c r="A120" s="1"/>
      <c r="D120" s="1"/>
      <c r="H120" s="1"/>
      <c r="J120" s="1"/>
      <c r="K120" s="1"/>
      <c r="M120" s="23"/>
      <c r="N120" s="1"/>
      <c r="O120" s="23"/>
      <c r="R120" s="10"/>
    </row>
    <row r="121" customFormat="false" ht="15" hidden="false" customHeight="false" outlineLevel="0" collapsed="false">
      <c r="A121" s="1"/>
      <c r="D121" s="1"/>
      <c r="H121" s="1"/>
      <c r="J121" s="1"/>
      <c r="K121" s="1"/>
      <c r="M121" s="23"/>
      <c r="N121" s="1"/>
      <c r="O121" s="23"/>
      <c r="R121" s="10"/>
    </row>
    <row r="122" customFormat="false" ht="15" hidden="false" customHeight="false" outlineLevel="0" collapsed="false">
      <c r="A122" s="1"/>
      <c r="D122" s="1"/>
      <c r="H122" s="1"/>
      <c r="J122" s="1"/>
      <c r="K122" s="1"/>
      <c r="M122" s="23"/>
      <c r="N122" s="1"/>
      <c r="O122" s="23"/>
      <c r="R122" s="10"/>
    </row>
    <row r="123" customFormat="false" ht="15" hidden="false" customHeight="false" outlineLevel="0" collapsed="false">
      <c r="A123" s="1"/>
      <c r="D123" s="1"/>
      <c r="H123" s="1"/>
      <c r="J123" s="1"/>
      <c r="K123" s="1"/>
      <c r="M123" s="23"/>
      <c r="N123" s="1"/>
      <c r="O123" s="23"/>
      <c r="R123" s="10"/>
    </row>
    <row r="124" customFormat="false" ht="15" hidden="false" customHeight="false" outlineLevel="0" collapsed="false">
      <c r="A124" s="1"/>
      <c r="D124" s="1"/>
      <c r="H124" s="1"/>
      <c r="J124" s="1"/>
      <c r="K124" s="1"/>
      <c r="M124" s="23"/>
      <c r="N124" s="1"/>
      <c r="O124" s="23"/>
      <c r="R124" s="10"/>
    </row>
    <row r="125" customFormat="false" ht="15" hidden="false" customHeight="false" outlineLevel="0" collapsed="false">
      <c r="A125" s="1"/>
      <c r="D125" s="1"/>
      <c r="H125" s="1"/>
      <c r="J125" s="1"/>
      <c r="K125" s="1"/>
      <c r="M125" s="23"/>
      <c r="N125" s="1"/>
      <c r="O125" s="23"/>
      <c r="R125" s="10"/>
    </row>
    <row r="126" customFormat="false" ht="15" hidden="false" customHeight="false" outlineLevel="0" collapsed="false">
      <c r="A126" s="1"/>
      <c r="D126" s="1"/>
      <c r="H126" s="1"/>
      <c r="J126" s="1"/>
      <c r="K126" s="1"/>
      <c r="M126" s="23"/>
      <c r="N126" s="1"/>
      <c r="O126" s="23"/>
      <c r="R126" s="10"/>
    </row>
    <row r="127" customFormat="false" ht="15" hidden="false" customHeight="false" outlineLevel="0" collapsed="false">
      <c r="A127" s="1"/>
      <c r="D127" s="1"/>
      <c r="H127" s="1"/>
      <c r="J127" s="1"/>
      <c r="K127" s="1"/>
      <c r="M127" s="23"/>
      <c r="N127" s="1"/>
      <c r="O127" s="23"/>
      <c r="R127" s="10"/>
    </row>
    <row r="128" customFormat="false" ht="15" hidden="false" customHeight="false" outlineLevel="0" collapsed="false">
      <c r="A128" s="1"/>
      <c r="D128" s="1"/>
      <c r="H128" s="1"/>
      <c r="J128" s="1"/>
      <c r="K128" s="1"/>
      <c r="M128" s="23"/>
      <c r="N128" s="1"/>
      <c r="O128" s="23"/>
      <c r="R128" s="10"/>
    </row>
    <row r="129" customFormat="false" ht="15" hidden="false" customHeight="false" outlineLevel="0" collapsed="false">
      <c r="A129" s="1"/>
      <c r="D129" s="1"/>
      <c r="H129" s="1"/>
      <c r="J129" s="1"/>
      <c r="K129" s="1"/>
      <c r="M129" s="23"/>
      <c r="N129" s="1"/>
      <c r="O129" s="23"/>
      <c r="R129" s="10"/>
    </row>
    <row r="130" customFormat="false" ht="15" hidden="false" customHeight="false" outlineLevel="0" collapsed="false">
      <c r="A130" s="1"/>
      <c r="D130" s="1"/>
      <c r="H130" s="1"/>
      <c r="J130" s="1"/>
      <c r="K130" s="1"/>
      <c r="M130" s="23"/>
      <c r="N130" s="1"/>
      <c r="O130" s="23"/>
      <c r="R130" s="10"/>
    </row>
    <row r="131" customFormat="false" ht="15" hidden="false" customHeight="false" outlineLevel="0" collapsed="false">
      <c r="A131" s="1"/>
      <c r="D131" s="1"/>
      <c r="H131" s="1"/>
      <c r="J131" s="1"/>
      <c r="K131" s="1"/>
      <c r="M131" s="23"/>
      <c r="N131" s="1"/>
      <c r="O131" s="23"/>
      <c r="R131" s="10"/>
    </row>
    <row r="132" customFormat="false" ht="15" hidden="false" customHeight="false" outlineLevel="0" collapsed="false">
      <c r="A132" s="1"/>
      <c r="D132" s="1"/>
      <c r="H132" s="1"/>
      <c r="J132" s="1"/>
      <c r="K132" s="1"/>
      <c r="M132" s="23"/>
      <c r="N132" s="1"/>
      <c r="O132" s="23"/>
      <c r="R132" s="10"/>
    </row>
    <row r="133" customFormat="false" ht="15" hidden="false" customHeight="false" outlineLevel="0" collapsed="false">
      <c r="A133" s="1"/>
      <c r="D133" s="1"/>
      <c r="H133" s="1"/>
      <c r="J133" s="1"/>
      <c r="K133" s="1"/>
      <c r="M133" s="23"/>
      <c r="N133" s="1"/>
      <c r="O133" s="23"/>
      <c r="R133" s="10"/>
    </row>
    <row r="134" customFormat="false" ht="15" hidden="false" customHeight="false" outlineLevel="0" collapsed="false">
      <c r="A134" s="1"/>
      <c r="D134" s="1"/>
      <c r="H134" s="1"/>
      <c r="J134" s="1"/>
      <c r="K134" s="1"/>
      <c r="M134" s="23"/>
      <c r="N134" s="1"/>
      <c r="O134" s="23"/>
      <c r="R134" s="10"/>
    </row>
    <row r="135" customFormat="false" ht="15" hidden="false" customHeight="false" outlineLevel="0" collapsed="false">
      <c r="D135" s="1"/>
      <c r="H135" s="1"/>
      <c r="J135" s="1"/>
      <c r="K135" s="1"/>
      <c r="M135" s="23"/>
      <c r="N135" s="1"/>
      <c r="O135" s="23"/>
      <c r="R135" s="10"/>
    </row>
    <row r="136" customFormat="false" ht="15" hidden="false" customHeight="false" outlineLevel="0" collapsed="false">
      <c r="A136" s="1"/>
      <c r="D136" s="1"/>
      <c r="H136" s="1"/>
      <c r="J136" s="1"/>
      <c r="K136" s="1"/>
      <c r="M136" s="23"/>
      <c r="N136" s="1"/>
      <c r="O136" s="23"/>
      <c r="R136" s="10"/>
    </row>
    <row r="137" customFormat="false" ht="15" hidden="false" customHeight="false" outlineLevel="0" collapsed="false">
      <c r="A137" s="1"/>
      <c r="D137" s="1"/>
      <c r="H137" s="1"/>
      <c r="J137" s="1"/>
      <c r="K137" s="1"/>
      <c r="M137" s="23"/>
      <c r="N137" s="1"/>
      <c r="O137" s="23"/>
      <c r="R137" s="10"/>
    </row>
    <row r="138" customFormat="false" ht="15" hidden="false" customHeight="false" outlineLevel="0" collapsed="false">
      <c r="A138" s="1"/>
      <c r="D138" s="1"/>
      <c r="H138" s="1"/>
      <c r="J138" s="1"/>
      <c r="K138" s="1"/>
      <c r="M138" s="23"/>
      <c r="N138" s="1"/>
      <c r="O138" s="23"/>
      <c r="R138" s="10"/>
    </row>
    <row r="139" customFormat="false" ht="15" hidden="false" customHeight="false" outlineLevel="0" collapsed="false">
      <c r="A139" s="1"/>
      <c r="D139" s="1"/>
      <c r="H139" s="1"/>
      <c r="J139" s="1"/>
      <c r="K139" s="1"/>
      <c r="M139" s="23"/>
      <c r="N139" s="1"/>
      <c r="O139" s="23"/>
      <c r="R139" s="10"/>
    </row>
    <row r="140" customFormat="false" ht="15" hidden="false" customHeight="false" outlineLevel="0" collapsed="false">
      <c r="A140" s="1"/>
      <c r="D140" s="1"/>
      <c r="H140" s="1"/>
      <c r="J140" s="1"/>
      <c r="K140" s="1"/>
      <c r="M140" s="23"/>
      <c r="N140" s="1"/>
      <c r="O140" s="23"/>
      <c r="R140" s="10"/>
    </row>
    <row r="141" customFormat="false" ht="15" hidden="false" customHeight="false" outlineLevel="0" collapsed="false">
      <c r="A141" s="1"/>
      <c r="D141" s="1"/>
      <c r="H141" s="1"/>
      <c r="J141" s="1"/>
      <c r="K141" s="1"/>
      <c r="M141" s="23"/>
      <c r="N141" s="1"/>
      <c r="O141" s="23"/>
      <c r="R141" s="10"/>
    </row>
    <row r="142" customFormat="false" ht="15" hidden="false" customHeight="false" outlineLevel="0" collapsed="false">
      <c r="A142" s="1"/>
      <c r="D142" s="1"/>
      <c r="H142" s="1"/>
      <c r="J142" s="1"/>
      <c r="K142" s="1"/>
      <c r="M142" s="23"/>
      <c r="N142" s="1"/>
      <c r="O142" s="23"/>
      <c r="R142" s="10"/>
    </row>
    <row r="143" customFormat="false" ht="15" hidden="false" customHeight="false" outlineLevel="0" collapsed="false">
      <c r="A143" s="1"/>
      <c r="D143" s="1"/>
      <c r="H143" s="1"/>
      <c r="J143" s="1"/>
      <c r="K143" s="1"/>
      <c r="M143" s="23"/>
      <c r="N143" s="1"/>
      <c r="O143" s="23"/>
      <c r="R143" s="10"/>
    </row>
    <row r="144" customFormat="false" ht="15" hidden="false" customHeight="false" outlineLevel="0" collapsed="false">
      <c r="A144" s="1"/>
      <c r="D144" s="1"/>
      <c r="H144" s="1"/>
      <c r="J144" s="1"/>
      <c r="K144" s="1"/>
      <c r="M144" s="23"/>
      <c r="N144" s="1"/>
      <c r="O144" s="23"/>
      <c r="R144" s="10"/>
    </row>
    <row r="145" customFormat="false" ht="15" hidden="false" customHeight="false" outlineLevel="0" collapsed="false">
      <c r="A145" s="1"/>
      <c r="D145" s="1"/>
      <c r="H145" s="1"/>
      <c r="J145" s="1"/>
      <c r="K145" s="1"/>
      <c r="M145" s="23"/>
      <c r="N145" s="1"/>
      <c r="O145" s="23"/>
      <c r="R145" s="10"/>
    </row>
    <row r="146" customFormat="false" ht="15" hidden="false" customHeight="false" outlineLevel="0" collapsed="false">
      <c r="H146" s="1"/>
      <c r="J146" s="1"/>
      <c r="K146" s="1"/>
      <c r="N146" s="1"/>
      <c r="R146" s="10"/>
    </row>
    <row r="147" customFormat="false" ht="15" hidden="false" customHeight="false" outlineLevel="0" collapsed="false">
      <c r="H147" s="1"/>
      <c r="J147" s="1"/>
      <c r="K147" s="1"/>
      <c r="N147" s="1"/>
      <c r="R147" s="10"/>
    </row>
  </sheetData>
  <conditionalFormatting sqref="N45:N47">
    <cfRule type="containsText" priority="2" operator="containsText" aboveAverage="0" equalAverage="0" bottom="0" percent="0" rank="0" text="a montar" dxfId="161">
      <formula>NOT(ISERROR(SEARCH("a montar",N45)))</formula>
    </cfRule>
    <cfRule type="containsText" priority="3" operator="containsText" aboveAverage="0" equalAverage="0" bottom="0" percent="0" rank="0" text="a serrar" dxfId="162">
      <formula>NOT(ISERROR(SEARCH("a serrar",N45)))</formula>
    </cfRule>
    <cfRule type="containsText" priority="4" operator="containsText" aboveAverage="0" equalAverage="0" bottom="0" percent="0" rank="0" text="pronto" dxfId="163">
      <formula>NOT(ISERROR(SEARCH("pronto",N45)))</formula>
    </cfRule>
    <cfRule type="containsText" priority="5" operator="containsText" aboveAverage="0" equalAverage="0" bottom="0" percent="0" rank="0" text="empreita" dxfId="164">
      <formula>NOT(ISERROR(SEARCH("empreita",N45)))</formula>
    </cfRule>
    <cfRule type="containsText" priority="6" operator="containsText" aboveAverage="0" equalAverage="0" bottom="0" percent="0" rank="0" text="previsto" dxfId="165">
      <formula>NOT(ISERROR(SEARCH("previsto",N45)))</formula>
    </cfRule>
    <cfRule type="containsText" priority="7" operator="containsText" aboveAverage="0" equalAverage="0" bottom="0" percent="0" rank="0" text="produzindo" dxfId="166">
      <formula>NOT(ISERROR(SEARCH("produzindo",N45)))</formula>
    </cfRule>
    <cfRule type="containsText" priority="8" operator="containsText" aboveAverage="0" equalAverage="0" bottom="0" percent="0" rank="0" text="material ok" dxfId="167">
      <formula>NOT(ISERROR(SEARCH("material ok",N45)))</formula>
    </cfRule>
  </conditionalFormatting>
  <conditionalFormatting sqref="N36">
    <cfRule type="containsText" priority="9" operator="containsText" aboveAverage="0" equalAverage="0" bottom="0" percent="0" rank="0" text="a montar" dxfId="168">
      <formula>NOT(ISERROR(SEARCH("a montar",N36)))</formula>
    </cfRule>
    <cfRule type="containsText" priority="10" operator="containsText" aboveAverage="0" equalAverage="0" bottom="0" percent="0" rank="0" text="a serrar" dxfId="169">
      <formula>NOT(ISERROR(SEARCH("a serrar",N36)))</formula>
    </cfRule>
    <cfRule type="containsText" priority="11" operator="containsText" aboveAverage="0" equalAverage="0" bottom="0" percent="0" rank="0" text="pronto" dxfId="170">
      <formula>NOT(ISERROR(SEARCH("pronto",N36)))</formula>
    </cfRule>
    <cfRule type="containsText" priority="12" operator="containsText" aboveAverage="0" equalAverage="0" bottom="0" percent="0" rank="0" text="empreita" dxfId="171">
      <formula>NOT(ISERROR(SEARCH("empreita",N36)))</formula>
    </cfRule>
    <cfRule type="containsText" priority="13" operator="containsText" aboveAverage="0" equalAverage="0" bottom="0" percent="0" rank="0" text="previsto" dxfId="172">
      <formula>NOT(ISERROR(SEARCH("previsto",N36)))</formula>
    </cfRule>
    <cfRule type="containsText" priority="14" operator="containsText" aboveAverage="0" equalAverage="0" bottom="0" percent="0" rank="0" text="produzindo" dxfId="173">
      <formula>NOT(ISERROR(SEARCH("produzindo",N36)))</formula>
    </cfRule>
    <cfRule type="containsText" priority="15" operator="containsText" aboveAverage="0" equalAverage="0" bottom="0" percent="0" rank="0" text="material ok" dxfId="174">
      <formula>NOT(ISERROR(SEARCH("material ok",N36)))</formula>
    </cfRule>
  </conditionalFormatting>
  <conditionalFormatting sqref="N26:N29">
    <cfRule type="containsText" priority="16" operator="containsText" aboveAverage="0" equalAverage="0" bottom="0" percent="0" rank="0" text="a montar" dxfId="175">
      <formula>NOT(ISERROR(SEARCH("a montar",N26)))</formula>
    </cfRule>
    <cfRule type="containsText" priority="17" operator="containsText" aboveAverage="0" equalAverage="0" bottom="0" percent="0" rank="0" text="a serrar" dxfId="176">
      <formula>NOT(ISERROR(SEARCH("a serrar",N26)))</formula>
    </cfRule>
    <cfRule type="containsText" priority="18" operator="containsText" aboveAverage="0" equalAverage="0" bottom="0" percent="0" rank="0" text="pronto" dxfId="177">
      <formula>NOT(ISERROR(SEARCH("pronto",N26)))</formula>
    </cfRule>
    <cfRule type="containsText" priority="19" operator="containsText" aboveAverage="0" equalAverage="0" bottom="0" percent="0" rank="0" text="empreita" dxfId="178">
      <formula>NOT(ISERROR(SEARCH("empreita",N26)))</formula>
    </cfRule>
    <cfRule type="containsText" priority="20" operator="containsText" aboveAverage="0" equalAverage="0" bottom="0" percent="0" rank="0" text="previsto" dxfId="179">
      <formula>NOT(ISERROR(SEARCH("previsto",N26)))</formula>
    </cfRule>
    <cfRule type="containsText" priority="21" operator="containsText" aboveAverage="0" equalAverage="0" bottom="0" percent="0" rank="0" text="produzindo" dxfId="180">
      <formula>NOT(ISERROR(SEARCH("produzindo",N26)))</formula>
    </cfRule>
    <cfRule type="containsText" priority="22" operator="containsText" aboveAverage="0" equalAverage="0" bottom="0" percent="0" rank="0" text="material ok" dxfId="181">
      <formula>NOT(ISERROR(SEARCH("material ok",N26)))</formula>
    </cfRule>
  </conditionalFormatting>
  <conditionalFormatting sqref="N38:N39">
    <cfRule type="containsText" priority="23" operator="containsText" aboveAverage="0" equalAverage="0" bottom="0" percent="0" rank="0" text="a montar" dxfId="182">
      <formula>NOT(ISERROR(SEARCH("a montar",N38)))</formula>
    </cfRule>
    <cfRule type="containsText" priority="24" operator="containsText" aboveAverage="0" equalAverage="0" bottom="0" percent="0" rank="0" text="a serrar" dxfId="183">
      <formula>NOT(ISERROR(SEARCH("a serrar",N38)))</formula>
    </cfRule>
    <cfRule type="containsText" priority="25" operator="containsText" aboveAverage="0" equalAverage="0" bottom="0" percent="0" rank="0" text="pronto" dxfId="184">
      <formula>NOT(ISERROR(SEARCH("pronto",N38)))</formula>
    </cfRule>
    <cfRule type="containsText" priority="26" operator="containsText" aboveAverage="0" equalAverage="0" bottom="0" percent="0" rank="0" text="empreita" dxfId="185">
      <formula>NOT(ISERROR(SEARCH("empreita",N38)))</formula>
    </cfRule>
    <cfRule type="containsText" priority="27" operator="containsText" aboveAverage="0" equalAverage="0" bottom="0" percent="0" rank="0" text="previsto" dxfId="186">
      <formula>NOT(ISERROR(SEARCH("previsto",N38)))</formula>
    </cfRule>
    <cfRule type="containsText" priority="28" operator="containsText" aboveAverage="0" equalAverage="0" bottom="0" percent="0" rank="0" text="produzindo" dxfId="187">
      <formula>NOT(ISERROR(SEARCH("produzindo",N38)))</formula>
    </cfRule>
    <cfRule type="containsText" priority="29" operator="containsText" aboveAverage="0" equalAverage="0" bottom="0" percent="0" rank="0" text="material ok" dxfId="188">
      <formula>NOT(ISERROR(SEARCH("material ok",N38)))</formula>
    </cfRule>
  </conditionalFormatting>
  <conditionalFormatting sqref="N49:N50">
    <cfRule type="containsText" priority="30" operator="containsText" aboveAverage="0" equalAverage="0" bottom="0" percent="0" rank="0" text="a montar" dxfId="189">
      <formula>NOT(ISERROR(SEARCH("a montar",N49)))</formula>
    </cfRule>
    <cfRule type="containsText" priority="31" operator="containsText" aboveAverage="0" equalAverage="0" bottom="0" percent="0" rank="0" text="a serrar" dxfId="190">
      <formula>NOT(ISERROR(SEARCH("a serrar",N49)))</formula>
    </cfRule>
    <cfRule type="containsText" priority="32" operator="containsText" aboveAverage="0" equalAverage="0" bottom="0" percent="0" rank="0" text="pronto" dxfId="191">
      <formula>NOT(ISERROR(SEARCH("pronto",N49)))</formula>
    </cfRule>
    <cfRule type="containsText" priority="33" operator="containsText" aboveAverage="0" equalAverage="0" bottom="0" percent="0" rank="0" text="empreita" dxfId="192">
      <formula>NOT(ISERROR(SEARCH("empreita",N49)))</formula>
    </cfRule>
    <cfRule type="containsText" priority="34" operator="containsText" aboveAverage="0" equalAverage="0" bottom="0" percent="0" rank="0" text="previsto" dxfId="193">
      <formula>NOT(ISERROR(SEARCH("previsto",N49)))</formula>
    </cfRule>
    <cfRule type="containsText" priority="35" operator="containsText" aboveAverage="0" equalAverage="0" bottom="0" percent="0" rank="0" text="produzindo" dxfId="194">
      <formula>NOT(ISERROR(SEARCH("produzindo",N49)))</formula>
    </cfRule>
    <cfRule type="containsText" priority="36" operator="containsText" aboveAverage="0" equalAverage="0" bottom="0" percent="0" rank="0" text="material ok" dxfId="195">
      <formula>NOT(ISERROR(SEARCH("material ok",N49)))</formula>
    </cfRule>
  </conditionalFormatting>
  <conditionalFormatting sqref="N31">
    <cfRule type="containsText" priority="37" operator="containsText" aboveAverage="0" equalAverage="0" bottom="0" percent="0" rank="0" text="a montar" dxfId="196">
      <formula>NOT(ISERROR(SEARCH("a montar",N31)))</formula>
    </cfRule>
    <cfRule type="containsText" priority="38" operator="containsText" aboveAverage="0" equalAverage="0" bottom="0" percent="0" rank="0" text="a serrar" dxfId="197">
      <formula>NOT(ISERROR(SEARCH("a serrar",N31)))</formula>
    </cfRule>
    <cfRule type="containsText" priority="39" operator="containsText" aboveAverage="0" equalAverage="0" bottom="0" percent="0" rank="0" text="pronto" dxfId="198">
      <formula>NOT(ISERROR(SEARCH("pronto",N31)))</formula>
    </cfRule>
    <cfRule type="containsText" priority="40" operator="containsText" aboveAverage="0" equalAverage="0" bottom="0" percent="0" rank="0" text="empreita" dxfId="199">
      <formula>NOT(ISERROR(SEARCH("empreita",N31)))</formula>
    </cfRule>
    <cfRule type="containsText" priority="41" operator="containsText" aboveAverage="0" equalAverage="0" bottom="0" percent="0" rank="0" text="previsto" dxfId="200">
      <formula>NOT(ISERROR(SEARCH("previsto",N31)))</formula>
    </cfRule>
    <cfRule type="containsText" priority="42" operator="containsText" aboveAverage="0" equalAverage="0" bottom="0" percent="0" rank="0" text="produzindo" dxfId="201">
      <formula>NOT(ISERROR(SEARCH("produzindo",N31)))</formula>
    </cfRule>
    <cfRule type="containsText" priority="43" operator="containsText" aboveAverage="0" equalAverage="0" bottom="0" percent="0" rank="0" text="material ok" dxfId="202">
      <formula>NOT(ISERROR(SEARCH("material ok",N31)))</formula>
    </cfRule>
  </conditionalFormatting>
  <conditionalFormatting sqref="N33:N34">
    <cfRule type="containsText" priority="44" operator="containsText" aboveAverage="0" equalAverage="0" bottom="0" percent="0" rank="0" text="a montar" dxfId="203">
      <formula>NOT(ISERROR(SEARCH("a montar",N33)))</formula>
    </cfRule>
    <cfRule type="containsText" priority="45" operator="containsText" aboveAverage="0" equalAverage="0" bottom="0" percent="0" rank="0" text="a serrar" dxfId="204">
      <formula>NOT(ISERROR(SEARCH("a serrar",N33)))</formula>
    </cfRule>
    <cfRule type="containsText" priority="46" operator="containsText" aboveAverage="0" equalAverage="0" bottom="0" percent="0" rank="0" text="pronto" dxfId="205">
      <formula>NOT(ISERROR(SEARCH("pronto",N33)))</formula>
    </cfRule>
    <cfRule type="containsText" priority="47" operator="containsText" aboveAverage="0" equalAverage="0" bottom="0" percent="0" rank="0" text="empreita" dxfId="206">
      <formula>NOT(ISERROR(SEARCH("empreita",N33)))</formula>
    </cfRule>
    <cfRule type="containsText" priority="48" operator="containsText" aboveAverage="0" equalAverage="0" bottom="0" percent="0" rank="0" text="previsto" dxfId="207">
      <formula>NOT(ISERROR(SEARCH("previsto",N33)))</formula>
    </cfRule>
    <cfRule type="containsText" priority="49" operator="containsText" aboveAverage="0" equalAverage="0" bottom="0" percent="0" rank="0" text="produzindo" dxfId="208">
      <formula>NOT(ISERROR(SEARCH("produzindo",N33)))</formula>
    </cfRule>
    <cfRule type="containsText" priority="50" operator="containsText" aboveAverage="0" equalAverage="0" bottom="0" percent="0" rank="0" text="material ok" dxfId="209">
      <formula>NOT(ISERROR(SEARCH("material ok",N33)))</formula>
    </cfRule>
  </conditionalFormatting>
  <conditionalFormatting sqref="N43">
    <cfRule type="containsText" priority="51" operator="containsText" aboveAverage="0" equalAverage="0" bottom="0" percent="0" rank="0" text="a montar" dxfId="210">
      <formula>NOT(ISERROR(SEARCH("a montar",N43)))</formula>
    </cfRule>
    <cfRule type="containsText" priority="52" operator="containsText" aboveAverage="0" equalAverage="0" bottom="0" percent="0" rank="0" text="a serrar" dxfId="211">
      <formula>NOT(ISERROR(SEARCH("a serrar",N43)))</formula>
    </cfRule>
    <cfRule type="containsText" priority="53" operator="containsText" aboveAverage="0" equalAverage="0" bottom="0" percent="0" rank="0" text="pronto" dxfId="212">
      <formula>NOT(ISERROR(SEARCH("pronto",N43)))</formula>
    </cfRule>
    <cfRule type="containsText" priority="54" operator="containsText" aboveAverage="0" equalAverage="0" bottom="0" percent="0" rank="0" text="empreita" dxfId="213">
      <formula>NOT(ISERROR(SEARCH("empreita",N43)))</formula>
    </cfRule>
    <cfRule type="containsText" priority="55" operator="containsText" aboveAverage="0" equalAverage="0" bottom="0" percent="0" rank="0" text="previsto" dxfId="214">
      <formula>NOT(ISERROR(SEARCH("previsto",N43)))</formula>
    </cfRule>
    <cfRule type="containsText" priority="56" operator="containsText" aboveAverage="0" equalAverage="0" bottom="0" percent="0" rank="0" text="produzindo" dxfId="215">
      <formula>NOT(ISERROR(SEARCH("produzindo",N43)))</formula>
    </cfRule>
    <cfRule type="containsText" priority="57" operator="containsText" aboveAverage="0" equalAverage="0" bottom="0" percent="0" rank="0" text="material ok" dxfId="216">
      <formula>NOT(ISERROR(SEARCH("material ok",N43)))</formula>
    </cfRule>
  </conditionalFormatting>
  <conditionalFormatting sqref="N41">
    <cfRule type="containsText" priority="58" operator="containsText" aboveAverage="0" equalAverage="0" bottom="0" percent="0" rank="0" text="a montar" dxfId="217">
      <formula>NOT(ISERROR(SEARCH("a montar",N41)))</formula>
    </cfRule>
    <cfRule type="containsText" priority="59" operator="containsText" aboveAverage="0" equalAverage="0" bottom="0" percent="0" rank="0" text="a serrar" dxfId="218">
      <formula>NOT(ISERROR(SEARCH("a serrar",N41)))</formula>
    </cfRule>
    <cfRule type="containsText" priority="60" operator="containsText" aboveAverage="0" equalAverage="0" bottom="0" percent="0" rank="0" text="pronto" dxfId="219">
      <formula>NOT(ISERROR(SEARCH("pronto",N41)))</formula>
    </cfRule>
    <cfRule type="containsText" priority="61" operator="containsText" aboveAverage="0" equalAverage="0" bottom="0" percent="0" rank="0" text="empreita" dxfId="220">
      <formula>NOT(ISERROR(SEARCH("empreita",N41)))</formula>
    </cfRule>
    <cfRule type="containsText" priority="62" operator="containsText" aboveAverage="0" equalAverage="0" bottom="0" percent="0" rank="0" text="previsto" dxfId="221">
      <formula>NOT(ISERROR(SEARCH("previsto",N41)))</formula>
    </cfRule>
    <cfRule type="containsText" priority="63" operator="containsText" aboveAverage="0" equalAverage="0" bottom="0" percent="0" rank="0" text="produzindo" dxfId="222">
      <formula>NOT(ISERROR(SEARCH("produzindo",N41)))</formula>
    </cfRule>
    <cfRule type="containsText" priority="64" operator="containsText" aboveAverage="0" equalAverage="0" bottom="0" percent="0" rank="0" text="material ok" dxfId="223">
      <formula>NOT(ISERROR(SEARCH("material ok",N41)))</formula>
    </cfRule>
  </conditionalFormatting>
  <conditionalFormatting sqref="N24">
    <cfRule type="containsText" priority="65" operator="containsText" aboveAverage="0" equalAverage="0" bottom="0" percent="0" rank="0" text="a montar" dxfId="224">
      <formula>NOT(ISERROR(SEARCH("a montar",N24)))</formula>
    </cfRule>
    <cfRule type="containsText" priority="66" operator="containsText" aboveAverage="0" equalAverage="0" bottom="0" percent="0" rank="0" text="a serrar" dxfId="225">
      <formula>NOT(ISERROR(SEARCH("a serrar",N24)))</formula>
    </cfRule>
    <cfRule type="containsText" priority="67" operator="containsText" aboveAverage="0" equalAverage="0" bottom="0" percent="0" rank="0" text="pronto" dxfId="226">
      <formula>NOT(ISERROR(SEARCH("pronto",N24)))</formula>
    </cfRule>
    <cfRule type="containsText" priority="68" operator="containsText" aboveAverage="0" equalAverage="0" bottom="0" percent="0" rank="0" text="empreita" dxfId="227">
      <formula>NOT(ISERROR(SEARCH("empreita",N24)))</formula>
    </cfRule>
    <cfRule type="containsText" priority="69" operator="containsText" aboveAverage="0" equalAverage="0" bottom="0" percent="0" rank="0" text="previsto" dxfId="228">
      <formula>NOT(ISERROR(SEARCH("previsto",N24)))</formula>
    </cfRule>
    <cfRule type="containsText" priority="70" operator="containsText" aboveAverage="0" equalAverage="0" bottom="0" percent="0" rank="0" text="produzindo" dxfId="229">
      <formula>NOT(ISERROR(SEARCH("produzindo",N24)))</formula>
    </cfRule>
    <cfRule type="containsText" priority="71" operator="containsText" aboveAverage="0" equalAverage="0" bottom="0" percent="0" rank="0" text="material ok" dxfId="230">
      <formula>NOT(ISERROR(SEARCH("material ok",N24)))</formula>
    </cfRule>
  </conditionalFormatting>
  <conditionalFormatting sqref="N19:N22">
    <cfRule type="containsText" priority="72" operator="containsText" aboveAverage="0" equalAverage="0" bottom="0" percent="0" rank="0" text="a montar" dxfId="231">
      <formula>NOT(ISERROR(SEARCH("a montar",N19)))</formula>
    </cfRule>
    <cfRule type="containsText" priority="73" operator="containsText" aboveAverage="0" equalAverage="0" bottom="0" percent="0" rank="0" text="a serrar" dxfId="232">
      <formula>NOT(ISERROR(SEARCH("a serrar",N19)))</formula>
    </cfRule>
    <cfRule type="containsText" priority="74" operator="containsText" aboveAverage="0" equalAverage="0" bottom="0" percent="0" rank="0" text="pronto" dxfId="233">
      <formula>NOT(ISERROR(SEARCH("pronto",N19)))</formula>
    </cfRule>
    <cfRule type="containsText" priority="75" operator="containsText" aboveAverage="0" equalAverage="0" bottom="0" percent="0" rank="0" text="empreita" dxfId="234">
      <formula>NOT(ISERROR(SEARCH("empreita",N19)))</formula>
    </cfRule>
    <cfRule type="containsText" priority="76" operator="containsText" aboveAverage="0" equalAverage="0" bottom="0" percent="0" rank="0" text="previsto" dxfId="235">
      <formula>NOT(ISERROR(SEARCH("previsto",N19)))</formula>
    </cfRule>
    <cfRule type="containsText" priority="77" operator="containsText" aboveAverage="0" equalAverage="0" bottom="0" percent="0" rank="0" text="produzindo" dxfId="236">
      <formula>NOT(ISERROR(SEARCH("produzindo",N19)))</formula>
    </cfRule>
    <cfRule type="containsText" priority="78" operator="containsText" aboveAverage="0" equalAverage="0" bottom="0" percent="0" rank="0" text="material ok" dxfId="237">
      <formula>NOT(ISERROR(SEARCH("material ok",N19)))</formula>
    </cfRule>
  </conditionalFormatting>
  <conditionalFormatting sqref="N17">
    <cfRule type="containsText" priority="79" operator="containsText" aboveAverage="0" equalAverage="0" bottom="0" percent="0" rank="0" text="a montar" dxfId="238">
      <formula>NOT(ISERROR(SEARCH("a montar",N17)))</formula>
    </cfRule>
    <cfRule type="containsText" priority="80" operator="containsText" aboveAverage="0" equalAverage="0" bottom="0" percent="0" rank="0" text="a serrar" dxfId="239">
      <formula>NOT(ISERROR(SEARCH("a serrar",N17)))</formula>
    </cfRule>
    <cfRule type="containsText" priority="81" operator="containsText" aboveAverage="0" equalAverage="0" bottom="0" percent="0" rank="0" text="pronto" dxfId="240">
      <formula>NOT(ISERROR(SEARCH("pronto",N17)))</formula>
    </cfRule>
    <cfRule type="containsText" priority="82" operator="containsText" aboveAverage="0" equalAverage="0" bottom="0" percent="0" rank="0" text="empreita" dxfId="241">
      <formula>NOT(ISERROR(SEARCH("empreita",N17)))</formula>
    </cfRule>
    <cfRule type="containsText" priority="83" operator="containsText" aboveAverage="0" equalAverage="0" bottom="0" percent="0" rank="0" text="previsto" dxfId="242">
      <formula>NOT(ISERROR(SEARCH("previsto",N17)))</formula>
    </cfRule>
    <cfRule type="containsText" priority="84" operator="containsText" aboveAverage="0" equalAverage="0" bottom="0" percent="0" rank="0" text="produzindo" dxfId="243">
      <formula>NOT(ISERROR(SEARCH("produzindo",N17)))</formula>
    </cfRule>
    <cfRule type="containsText" priority="85" operator="containsText" aboveAverage="0" equalAverage="0" bottom="0" percent="0" rank="0" text="material ok" dxfId="244">
      <formula>NOT(ISERROR(SEARCH("material ok",N17)))</formula>
    </cfRule>
  </conditionalFormatting>
  <conditionalFormatting sqref="N11">
    <cfRule type="containsText" priority="86" operator="containsText" aboveAverage="0" equalAverage="0" bottom="0" percent="0" rank="0" text="a montar" dxfId="245">
      <formula>NOT(ISERROR(SEARCH("a montar",N11)))</formula>
    </cfRule>
    <cfRule type="containsText" priority="87" operator="containsText" aboveAverage="0" equalAverage="0" bottom="0" percent="0" rank="0" text="a serrar" dxfId="246">
      <formula>NOT(ISERROR(SEARCH("a serrar",N11)))</formula>
    </cfRule>
    <cfRule type="containsText" priority="88" operator="containsText" aboveAverage="0" equalAverage="0" bottom="0" percent="0" rank="0" text="pronto" dxfId="247">
      <formula>NOT(ISERROR(SEARCH("pronto",N11)))</formula>
    </cfRule>
    <cfRule type="containsText" priority="89" operator="containsText" aboveAverage="0" equalAverage="0" bottom="0" percent="0" rank="0" text="empreita" dxfId="248">
      <formula>NOT(ISERROR(SEARCH("empreita",N11)))</formula>
    </cfRule>
    <cfRule type="containsText" priority="90" operator="containsText" aboveAverage="0" equalAverage="0" bottom="0" percent="0" rank="0" text="previsto" dxfId="249">
      <formula>NOT(ISERROR(SEARCH("previsto",N11)))</formula>
    </cfRule>
    <cfRule type="containsText" priority="91" operator="containsText" aboveAverage="0" equalAverage="0" bottom="0" percent="0" rank="0" text="produzindo" dxfId="250">
      <formula>NOT(ISERROR(SEARCH("produzindo",N11)))</formula>
    </cfRule>
    <cfRule type="containsText" priority="92" operator="containsText" aboveAverage="0" equalAverage="0" bottom="0" percent="0" rank="0" text="material ok" dxfId="251">
      <formula>NOT(ISERROR(SEARCH("material ok",N11)))</formula>
    </cfRule>
  </conditionalFormatting>
  <conditionalFormatting sqref="N15">
    <cfRule type="containsText" priority="93" operator="containsText" aboveAverage="0" equalAverage="0" bottom="0" percent="0" rank="0" text="a montar" dxfId="252">
      <formula>NOT(ISERROR(SEARCH("a montar",N15)))</formula>
    </cfRule>
    <cfRule type="containsText" priority="94" operator="containsText" aboveAverage="0" equalAverage="0" bottom="0" percent="0" rank="0" text="a serrar" dxfId="253">
      <formula>NOT(ISERROR(SEARCH("a serrar",N15)))</formula>
    </cfRule>
    <cfRule type="containsText" priority="95" operator="containsText" aboveAverage="0" equalAverage="0" bottom="0" percent="0" rank="0" text="pronto" dxfId="254">
      <formula>NOT(ISERROR(SEARCH("pronto",N15)))</formula>
    </cfRule>
    <cfRule type="containsText" priority="96" operator="containsText" aboveAverage="0" equalAverage="0" bottom="0" percent="0" rank="0" text="empreita" dxfId="255">
      <formula>NOT(ISERROR(SEARCH("empreita",N15)))</formula>
    </cfRule>
    <cfRule type="containsText" priority="97" operator="containsText" aboveAverage="0" equalAverage="0" bottom="0" percent="0" rank="0" text="previsto" dxfId="256">
      <formula>NOT(ISERROR(SEARCH("previsto",N15)))</formula>
    </cfRule>
    <cfRule type="containsText" priority="98" operator="containsText" aboveAverage="0" equalAverage="0" bottom="0" percent="0" rank="0" text="produzindo" dxfId="257">
      <formula>NOT(ISERROR(SEARCH("produzindo",N15)))</formula>
    </cfRule>
    <cfRule type="containsText" priority="99" operator="containsText" aboveAverage="0" equalAverage="0" bottom="0" percent="0" rank="0" text="material ok" dxfId="258">
      <formula>NOT(ISERROR(SEARCH("material ok",N15)))</formula>
    </cfRule>
  </conditionalFormatting>
  <conditionalFormatting sqref="N13">
    <cfRule type="containsText" priority="100" operator="containsText" aboveAverage="0" equalAverage="0" bottom="0" percent="0" rank="0" text="a montar" dxfId="259">
      <formula>NOT(ISERROR(SEARCH("a montar",N13)))</formula>
    </cfRule>
    <cfRule type="containsText" priority="101" operator="containsText" aboveAverage="0" equalAverage="0" bottom="0" percent="0" rank="0" text="a serrar" dxfId="260">
      <formula>NOT(ISERROR(SEARCH("a serrar",N13)))</formula>
    </cfRule>
    <cfRule type="containsText" priority="102" operator="containsText" aboveAverage="0" equalAverage="0" bottom="0" percent="0" rank="0" text="pronto" dxfId="261">
      <formula>NOT(ISERROR(SEARCH("pronto",N13)))</formula>
    </cfRule>
    <cfRule type="containsText" priority="103" operator="containsText" aboveAverage="0" equalAverage="0" bottom="0" percent="0" rank="0" text="empreita" dxfId="262">
      <formula>NOT(ISERROR(SEARCH("empreita",N13)))</formula>
    </cfRule>
    <cfRule type="containsText" priority="104" operator="containsText" aboveAverage="0" equalAverage="0" bottom="0" percent="0" rank="0" text="previsto" dxfId="263">
      <formula>NOT(ISERROR(SEARCH("previsto",N13)))</formula>
    </cfRule>
    <cfRule type="containsText" priority="105" operator="containsText" aboveAverage="0" equalAverage="0" bottom="0" percent="0" rank="0" text="produzindo" dxfId="264">
      <formula>NOT(ISERROR(SEARCH("produzindo",N13)))</formula>
    </cfRule>
    <cfRule type="containsText" priority="106" operator="containsText" aboveAverage="0" equalAverage="0" bottom="0" percent="0" rank="0" text="material ok" dxfId="265">
      <formula>NOT(ISERROR(SEARCH("material ok",N13)))</formula>
    </cfRule>
  </conditionalFormatting>
  <conditionalFormatting sqref="N8:N9">
    <cfRule type="containsText" priority="107" operator="containsText" aboveAverage="0" equalAverage="0" bottom="0" percent="0" rank="0" text="a montar" dxfId="266">
      <formula>NOT(ISERROR(SEARCH("a montar",N8)))</formula>
    </cfRule>
    <cfRule type="containsText" priority="108" operator="containsText" aboveAverage="0" equalAverage="0" bottom="0" percent="0" rank="0" text="a serrar" dxfId="267">
      <formula>NOT(ISERROR(SEARCH("a serrar",N8)))</formula>
    </cfRule>
    <cfRule type="containsText" priority="109" operator="containsText" aboveAverage="0" equalAverage="0" bottom="0" percent="0" rank="0" text="pronto" dxfId="268">
      <formula>NOT(ISERROR(SEARCH("pronto",N8)))</formula>
    </cfRule>
    <cfRule type="containsText" priority="110" operator="containsText" aboveAverage="0" equalAverage="0" bottom="0" percent="0" rank="0" text="empreita" dxfId="269">
      <formula>NOT(ISERROR(SEARCH("empreita",N8)))</formula>
    </cfRule>
    <cfRule type="containsText" priority="111" operator="containsText" aboveAverage="0" equalAverage="0" bottom="0" percent="0" rank="0" text="previsto" dxfId="270">
      <formula>NOT(ISERROR(SEARCH("previsto",N8)))</formula>
    </cfRule>
    <cfRule type="containsText" priority="112" operator="containsText" aboveAverage="0" equalAverage="0" bottom="0" percent="0" rank="0" text="produzindo" dxfId="271">
      <formula>NOT(ISERROR(SEARCH("produzindo",N8)))</formula>
    </cfRule>
    <cfRule type="containsText" priority="113" operator="containsText" aboveAverage="0" equalAverage="0" bottom="0" percent="0" rank="0" text="material ok" dxfId="272">
      <formula>NOT(ISERROR(SEARCH("material ok",N8)))</formula>
    </cfRule>
  </conditionalFormatting>
  <conditionalFormatting sqref="N1:N6">
    <cfRule type="containsText" priority="114" operator="containsText" aboveAverage="0" equalAverage="0" bottom="0" percent="0" rank="0" text="a montar" dxfId="273">
      <formula>NOT(ISERROR(SEARCH("a montar",N1)))</formula>
    </cfRule>
    <cfRule type="containsText" priority="115" operator="containsText" aboveAverage="0" equalAverage="0" bottom="0" percent="0" rank="0" text="a serrar" dxfId="274">
      <formula>NOT(ISERROR(SEARCH("a serrar",N1)))</formula>
    </cfRule>
    <cfRule type="containsText" priority="116" operator="containsText" aboveAverage="0" equalAverage="0" bottom="0" percent="0" rank="0" text="pronto" dxfId="275">
      <formula>NOT(ISERROR(SEARCH("pronto",N1)))</formula>
    </cfRule>
    <cfRule type="containsText" priority="117" operator="containsText" aboveAverage="0" equalAverage="0" bottom="0" percent="0" rank="0" text="empreita" dxfId="276">
      <formula>NOT(ISERROR(SEARCH("empreita",N1)))</formula>
    </cfRule>
    <cfRule type="containsText" priority="118" operator="containsText" aboveAverage="0" equalAverage="0" bottom="0" percent="0" rank="0" text="previsto" dxfId="277">
      <formula>NOT(ISERROR(SEARCH("previsto",N1)))</formula>
    </cfRule>
    <cfRule type="containsText" priority="119" operator="containsText" aboveAverage="0" equalAverage="0" bottom="0" percent="0" rank="0" text="produzindo" dxfId="278">
      <formula>NOT(ISERROR(SEARCH("produzindo",N1)))</formula>
    </cfRule>
    <cfRule type="containsText" priority="120" operator="containsText" aboveAverage="0" equalAverage="0" bottom="0" percent="0" rank="0" text="material ok" dxfId="279">
      <formula>NOT(ISERROR(SEARCH("material ok",N1)))</formula>
    </cfRule>
  </conditionalFormatting>
  <conditionalFormatting sqref="N65 N67:N68">
    <cfRule type="containsText" priority="121" operator="containsText" aboveAverage="0" equalAverage="0" bottom="0" percent="0" rank="0" text="a montar" dxfId="280">
      <formula>NOT(ISERROR(SEARCH("a montar",N65)))</formula>
    </cfRule>
    <cfRule type="containsText" priority="122" operator="containsText" aboveAverage="0" equalAverage="0" bottom="0" percent="0" rank="0" text="a serrar" dxfId="281">
      <formula>NOT(ISERROR(SEARCH("a serrar",N65)))</formula>
    </cfRule>
    <cfRule type="containsText" priority="123" operator="containsText" aboveAverage="0" equalAverage="0" bottom="0" percent="0" rank="0" text="pronto" dxfId="282">
      <formula>NOT(ISERROR(SEARCH("pronto",N65)))</formula>
    </cfRule>
    <cfRule type="containsText" priority="124" operator="containsText" aboveAverage="0" equalAverage="0" bottom="0" percent="0" rank="0" text="empreita" dxfId="283">
      <formula>NOT(ISERROR(SEARCH("empreita",N65)))</formula>
    </cfRule>
    <cfRule type="containsText" priority="125" operator="containsText" aboveAverage="0" equalAverage="0" bottom="0" percent="0" rank="0" text="previsto" dxfId="284">
      <formula>NOT(ISERROR(SEARCH("previsto",N65)))</formula>
    </cfRule>
    <cfRule type="containsText" priority="126" operator="containsText" aboveAverage="0" equalAverage="0" bottom="0" percent="0" rank="0" text="produzindo" dxfId="285">
      <formula>NOT(ISERROR(SEARCH("produzindo",N65)))</formula>
    </cfRule>
    <cfRule type="containsText" priority="127" operator="containsText" aboveAverage="0" equalAverage="0" bottom="0" percent="0" rank="0" text="material ok" dxfId="286">
      <formula>NOT(ISERROR(SEARCH("material ok",N65)))</formula>
    </cfRule>
  </conditionalFormatting>
  <conditionalFormatting sqref="M1">
    <cfRule type="containsText" priority="128" operator="containsText" aboveAverage="0" equalAverage="0" bottom="0" percent="0" rank="0" text="a montar" dxfId="287">
      <formula>NOT(ISERROR(SEARCH("a montar",M1)))</formula>
    </cfRule>
    <cfRule type="containsText" priority="129" operator="containsText" aboveAverage="0" equalAverage="0" bottom="0" percent="0" rank="0" text="a serrar" dxfId="288">
      <formula>NOT(ISERROR(SEARCH("a serrar",M1)))</formula>
    </cfRule>
    <cfRule type="containsText" priority="130" operator="containsText" aboveAverage="0" equalAverage="0" bottom="0" percent="0" rank="0" text="pronto" dxfId="289">
      <formula>NOT(ISERROR(SEARCH("pronto",M1)))</formula>
    </cfRule>
    <cfRule type="containsText" priority="131" operator="containsText" aboveAverage="0" equalAverage="0" bottom="0" percent="0" rank="0" text="empreita" dxfId="290">
      <formula>NOT(ISERROR(SEARCH("empreita",M1)))</formula>
    </cfRule>
    <cfRule type="containsText" priority="132" operator="containsText" aboveAverage="0" equalAverage="0" bottom="0" percent="0" rank="0" text="previsto" dxfId="291">
      <formula>NOT(ISERROR(SEARCH("previsto",M1)))</formula>
    </cfRule>
    <cfRule type="containsText" priority="133" operator="containsText" aboveAverage="0" equalAverage="0" bottom="0" percent="0" rank="0" text="produzindo" dxfId="292">
      <formula>NOT(ISERROR(SEARCH("produzindo",M1)))</formula>
    </cfRule>
    <cfRule type="containsText" priority="134" operator="containsText" aboveAverage="0" equalAverage="0" bottom="0" percent="0" rank="0" text="material ok" dxfId="293">
      <formula>NOT(ISERROR(SEARCH("material ok",M1)))</formula>
    </cfRule>
  </conditionalFormatting>
  <conditionalFormatting sqref="J1">
    <cfRule type="containsText" priority="135" operator="containsText" aboveAverage="0" equalAverage="0" bottom="0" percent="0" rank="0" text="a montar" dxfId="294">
      <formula>NOT(ISERROR(SEARCH("a montar",J1)))</formula>
    </cfRule>
    <cfRule type="containsText" priority="136" operator="containsText" aboveAverage="0" equalAverage="0" bottom="0" percent="0" rank="0" text="a serrar" dxfId="295">
      <formula>NOT(ISERROR(SEARCH("a serrar",J1)))</formula>
    </cfRule>
    <cfRule type="containsText" priority="137" operator="containsText" aboveAverage="0" equalAverage="0" bottom="0" percent="0" rank="0" text="pronto" dxfId="296">
      <formula>NOT(ISERROR(SEARCH("pronto",J1)))</formula>
    </cfRule>
    <cfRule type="containsText" priority="138" operator="containsText" aboveAverage="0" equalAverage="0" bottom="0" percent="0" rank="0" text="empreita" dxfId="297">
      <formula>NOT(ISERROR(SEARCH("empreita",J1)))</formula>
    </cfRule>
    <cfRule type="containsText" priority="139" operator="containsText" aboveAverage="0" equalAverage="0" bottom="0" percent="0" rank="0" text="previsto" dxfId="298">
      <formula>NOT(ISERROR(SEARCH("previsto",J1)))</formula>
    </cfRule>
    <cfRule type="containsText" priority="140" operator="containsText" aboveAverage="0" equalAverage="0" bottom="0" percent="0" rank="0" text="produzindo" dxfId="299">
      <formula>NOT(ISERROR(SEARCH("produzindo",J1)))</formula>
    </cfRule>
    <cfRule type="containsText" priority="141" operator="containsText" aboveAverage="0" equalAverage="0" bottom="0" percent="0" rank="0" text="material ok" dxfId="300">
      <formula>NOT(ISERROR(SEARCH("material ok",J1)))</formula>
    </cfRule>
  </conditionalFormatting>
  <conditionalFormatting sqref="N52:N57 N60:N61 N63 N70:N82 N84:N107 N109:N147">
    <cfRule type="containsText" priority="142" operator="containsText" aboveAverage="0" equalAverage="0" bottom="0" percent="0" rank="0" text="a montar" dxfId="301">
      <formula>NOT(ISERROR(SEARCH("a montar",N52)))</formula>
    </cfRule>
    <cfRule type="containsText" priority="143" operator="containsText" aboveAverage="0" equalAverage="0" bottom="0" percent="0" rank="0" text="a serrar" dxfId="302">
      <formula>NOT(ISERROR(SEARCH("a serrar",N52)))</formula>
    </cfRule>
    <cfRule type="containsText" priority="144" operator="containsText" aboveAverage="0" equalAverage="0" bottom="0" percent="0" rank="0" text="pronto" dxfId="303">
      <formula>NOT(ISERROR(SEARCH("pronto",N52)))</formula>
    </cfRule>
    <cfRule type="containsText" priority="145" operator="containsText" aboveAverage="0" equalAverage="0" bottom="0" percent="0" rank="0" text="empreita" dxfId="304">
      <formula>NOT(ISERROR(SEARCH("empreita",N52)))</formula>
    </cfRule>
    <cfRule type="containsText" priority="146" operator="containsText" aboveAverage="0" equalAverage="0" bottom="0" percent="0" rank="0" text="previsto" dxfId="305">
      <formula>NOT(ISERROR(SEARCH("previsto",N52)))</formula>
    </cfRule>
    <cfRule type="containsText" priority="147" operator="containsText" aboveAverage="0" equalAverage="0" bottom="0" percent="0" rank="0" text="produzindo" dxfId="306">
      <formula>NOT(ISERROR(SEARCH("produzindo",N52)))</formula>
    </cfRule>
    <cfRule type="containsText" priority="148" operator="containsText" aboveAverage="0" equalAverage="0" bottom="0" percent="0" rank="0" text="material ok" dxfId="307">
      <formula>NOT(ISERROR(SEARCH("material ok",N52)))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87"/>
  <sheetViews>
    <sheetView showFormulas="false" showGridLines="true" showRowColHeaders="true" showZeros="true" rightToLeft="false" tabSelected="false" showOutlineSymbols="true" defaultGridColor="true" view="normal" topLeftCell="A49" colorId="64" zoomScale="100" zoomScaleNormal="100" zoomScalePageLayoutView="100" workbookViewId="0">
      <selection pane="topLeft" activeCell="K4" activeCellId="0" sqref="K4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2" style="0" width="15.15"/>
    <col collapsed="false" customWidth="true" hidden="false" outlineLevel="0" max="3" min="3" style="0" width="13.43"/>
    <col collapsed="false" customWidth="true" hidden="false" outlineLevel="0" max="4" min="4" style="0" width="7.43"/>
    <col collapsed="false" customWidth="true" hidden="false" outlineLevel="0" max="5" min="5" style="0" width="21.71"/>
    <col collapsed="false" customWidth="true" hidden="false" outlineLevel="0" max="6" min="6" style="0" width="6.71"/>
    <col collapsed="false" customWidth="true" hidden="false" outlineLevel="0" max="7" min="7" style="0" width="8.43"/>
    <col collapsed="false" customWidth="true" hidden="false" outlineLevel="0" max="8" min="8" style="0" width="9.14"/>
    <col collapsed="false" customWidth="true" hidden="false" outlineLevel="0" max="9" min="9" style="0" width="8.14"/>
    <col collapsed="false" customWidth="true" hidden="false" outlineLevel="0" max="11" min="11" style="0" width="12.29"/>
    <col collapsed="false" customWidth="true" hidden="false" outlineLevel="0" max="12" min="12" style="0" width="10.86"/>
    <col collapsed="false" customWidth="true" hidden="false" outlineLevel="0" max="13" min="13" style="0" width="14.71"/>
    <col collapsed="false" customWidth="true" hidden="false" outlineLevel="0" max="14" min="14" style="0" width="10"/>
    <col collapsed="false" customWidth="true" hidden="false" outlineLevel="0" max="15" min="15" style="0" width="13.14"/>
    <col collapsed="false" customWidth="true" hidden="false" outlineLevel="0" max="16" min="16" style="0" width="14.43"/>
    <col collapsed="false" customWidth="true" hidden="false" outlineLevel="0" max="18" min="18" style="0" width="13.57"/>
  </cols>
  <sheetData>
    <row r="1" customFormat="false" ht="16.4" hidden="false" customHeight="false" outlineLevel="0" collapsed="false">
      <c r="A1" s="1"/>
      <c r="C1" s="2"/>
      <c r="D1" s="1"/>
      <c r="F1" s="1"/>
      <c r="G1" s="1"/>
      <c r="H1" s="1"/>
      <c r="I1" s="1"/>
      <c r="J1" s="3" t="s">
        <v>0</v>
      </c>
      <c r="K1" s="4" t="s">
        <v>1</v>
      </c>
      <c r="L1" s="5" t="s">
        <v>2</v>
      </c>
      <c r="M1" s="6" t="s">
        <v>3</v>
      </c>
      <c r="N1" s="3" t="s">
        <v>4</v>
      </c>
      <c r="O1" s="7" t="s">
        <v>5</v>
      </c>
      <c r="P1" s="8" t="s">
        <v>6</v>
      </c>
      <c r="Q1" s="9" t="s">
        <v>3</v>
      </c>
      <c r="R1" s="10"/>
      <c r="S1" s="11"/>
    </row>
    <row r="2" customFormat="false" ht="15" hidden="false" customHeight="false" outlineLevel="0" collapsed="false">
      <c r="A2" s="1"/>
      <c r="C2" s="2"/>
      <c r="D2" s="1"/>
      <c r="F2" s="1"/>
      <c r="G2" s="1"/>
      <c r="H2" s="1"/>
      <c r="I2" s="1"/>
      <c r="J2" s="1"/>
      <c r="K2" s="12"/>
      <c r="L2" s="13"/>
      <c r="M2" s="14"/>
      <c r="N2" s="15"/>
      <c r="O2" s="10"/>
      <c r="P2" s="1"/>
      <c r="Q2" s="11"/>
      <c r="R2" s="10"/>
      <c r="S2" s="11"/>
    </row>
    <row r="3" customFormat="false" ht="16.4" hidden="false" customHeight="false" outlineLevel="0" collapsed="false">
      <c r="A3" s="16" t="s">
        <v>7</v>
      </c>
      <c r="B3" s="16" t="s">
        <v>8</v>
      </c>
      <c r="C3" s="16" t="s">
        <v>9</v>
      </c>
      <c r="D3" s="16"/>
      <c r="E3" s="16" t="s">
        <v>10</v>
      </c>
      <c r="F3" s="16" t="s">
        <v>11</v>
      </c>
      <c r="G3" s="16" t="s">
        <v>12</v>
      </c>
      <c r="H3" s="17" t="s">
        <v>13</v>
      </c>
      <c r="I3" s="16" t="s">
        <v>14</v>
      </c>
      <c r="J3" s="16" t="s">
        <v>15</v>
      </c>
      <c r="K3" s="16" t="s">
        <v>16</v>
      </c>
      <c r="L3" s="18" t="s">
        <v>17</v>
      </c>
      <c r="M3" s="18" t="s">
        <v>18</v>
      </c>
      <c r="N3" s="19" t="s">
        <v>19</v>
      </c>
      <c r="O3" s="18"/>
      <c r="P3" s="16" t="s">
        <v>20</v>
      </c>
      <c r="Q3" s="20"/>
      <c r="R3" s="21"/>
      <c r="S3" s="16" t="s">
        <v>21</v>
      </c>
    </row>
    <row r="4" customFormat="false" ht="16.4" hidden="false" customHeight="false" outlineLevel="0" collapsed="false">
      <c r="A4" s="1" t="n">
        <v>6104</v>
      </c>
      <c r="B4" s="0" t="s">
        <v>147</v>
      </c>
      <c r="C4" s="0" t="s">
        <v>51</v>
      </c>
      <c r="D4" s="1" t="s">
        <v>53</v>
      </c>
      <c r="E4" s="0" t="s">
        <v>153</v>
      </c>
      <c r="F4" s="1" t="n">
        <v>2.54</v>
      </c>
      <c r="G4" s="1" t="n">
        <v>2.54</v>
      </c>
      <c r="H4" s="1" t="n">
        <f aca="false">-((G4*100/F4)-100)</f>
        <v>-0</v>
      </c>
      <c r="I4" s="33" t="n">
        <v>410</v>
      </c>
      <c r="J4" s="1" t="n">
        <f aca="false">(F4-G4)*I4</f>
        <v>0</v>
      </c>
      <c r="K4" s="1" t="n">
        <f aca="false">G4*I4</f>
        <v>1041.4</v>
      </c>
      <c r="M4" s="23" t="n">
        <v>4000</v>
      </c>
      <c r="N4" s="3" t="s">
        <v>4</v>
      </c>
      <c r="O4" s="23" t="n">
        <v>4000</v>
      </c>
      <c r="P4" s="0" t="s">
        <v>26</v>
      </c>
      <c r="R4" s="10" t="n">
        <f aca="false">(O4-L4)/G4</f>
        <v>1574.8031496063</v>
      </c>
    </row>
    <row r="5" customFormat="false" ht="16.4" hidden="false" customHeight="false" outlineLevel="0" collapsed="false">
      <c r="A5" s="1" t="n">
        <v>6104</v>
      </c>
      <c r="B5" s="0" t="s">
        <v>147</v>
      </c>
      <c r="C5" s="0" t="s">
        <v>154</v>
      </c>
      <c r="D5" s="1" t="s">
        <v>53</v>
      </c>
      <c r="E5" s="0" t="s">
        <v>153</v>
      </c>
      <c r="F5" s="1" t="n">
        <v>1.96</v>
      </c>
      <c r="G5" s="1" t="n">
        <v>1.96</v>
      </c>
      <c r="H5" s="1" t="n">
        <f aca="false">-((G5*100/F5)-100)</f>
        <v>-0</v>
      </c>
      <c r="I5" s="33" t="n">
        <v>410</v>
      </c>
      <c r="J5" s="1" t="n">
        <f aca="false">(F5-G5)*I5</f>
        <v>0</v>
      </c>
      <c r="K5" s="1" t="n">
        <f aca="false">G5*I5</f>
        <v>803.6</v>
      </c>
      <c r="M5" s="23" t="n">
        <v>3050</v>
      </c>
      <c r="N5" s="3" t="s">
        <v>4</v>
      </c>
      <c r="O5" s="23" t="n">
        <v>3050</v>
      </c>
      <c r="P5" s="0" t="s">
        <v>26</v>
      </c>
      <c r="R5" s="10" t="n">
        <f aca="false">(O5-L5)/G5</f>
        <v>1556.12244897959</v>
      </c>
    </row>
    <row r="6" customFormat="false" ht="16.4" hidden="false" customHeight="false" outlineLevel="0" collapsed="false">
      <c r="A6" s="1"/>
      <c r="D6" s="1"/>
      <c r="F6" s="1"/>
      <c r="G6" s="1"/>
      <c r="H6" s="1"/>
      <c r="J6" s="1"/>
      <c r="K6" s="1" t="n">
        <f aca="false">G6*I6</f>
        <v>0</v>
      </c>
      <c r="M6" s="23"/>
      <c r="N6" s="3" t="s">
        <v>4</v>
      </c>
      <c r="O6" s="23"/>
      <c r="R6" s="10"/>
    </row>
    <row r="7" customFormat="false" ht="16.4" hidden="false" customHeight="false" outlineLevel="0" collapsed="false">
      <c r="A7" s="1" t="n">
        <v>6116</v>
      </c>
      <c r="B7" s="0" t="s">
        <v>96</v>
      </c>
      <c r="C7" s="0" t="s">
        <v>55</v>
      </c>
      <c r="D7" s="1" t="s">
        <v>24</v>
      </c>
      <c r="E7" s="0" t="s">
        <v>85</v>
      </c>
      <c r="F7" s="1" t="n">
        <v>2.1</v>
      </c>
      <c r="G7" s="1" t="n">
        <v>2.1</v>
      </c>
      <c r="H7" s="1" t="n">
        <f aca="false">-((G7*100/F7)-100)</f>
        <v>-0</v>
      </c>
      <c r="I7" s="33" t="n">
        <v>145</v>
      </c>
      <c r="J7" s="1" t="n">
        <f aca="false">(F7-G7)*I7</f>
        <v>0</v>
      </c>
      <c r="K7" s="1" t="n">
        <f aca="false">G7*I7</f>
        <v>304.5</v>
      </c>
      <c r="M7" s="23" t="n">
        <v>1770</v>
      </c>
      <c r="N7" s="3" t="s">
        <v>4</v>
      </c>
      <c r="O7" s="23" t="n">
        <v>1770</v>
      </c>
      <c r="P7" s="0" t="s">
        <v>29</v>
      </c>
      <c r="R7" s="10" t="n">
        <f aca="false">(O7-L7)/G7</f>
        <v>842.857142857143</v>
      </c>
    </row>
    <row r="8" customFormat="false" ht="16.4" hidden="false" customHeight="false" outlineLevel="0" collapsed="false">
      <c r="A8" s="1"/>
      <c r="D8" s="1"/>
      <c r="F8" s="1"/>
      <c r="G8" s="1"/>
      <c r="H8" s="1"/>
      <c r="J8" s="1"/>
      <c r="K8" s="1" t="n">
        <f aca="false">G8*I8</f>
        <v>0</v>
      </c>
      <c r="M8" s="23"/>
      <c r="N8" s="3" t="s">
        <v>4</v>
      </c>
      <c r="O8" s="23"/>
      <c r="R8" s="10"/>
    </row>
    <row r="9" customFormat="false" ht="16.4" hidden="false" customHeight="false" outlineLevel="0" collapsed="false">
      <c r="A9" s="1" t="n">
        <v>6118</v>
      </c>
      <c r="B9" s="0" t="s">
        <v>155</v>
      </c>
      <c r="C9" s="0" t="s">
        <v>156</v>
      </c>
      <c r="D9" s="1" t="s">
        <v>24</v>
      </c>
      <c r="E9" s="0" t="s">
        <v>157</v>
      </c>
      <c r="F9" s="1" t="n">
        <v>1.28</v>
      </c>
      <c r="G9" s="1" t="n">
        <v>1.05</v>
      </c>
      <c r="H9" s="1" t="n">
        <f aca="false">-((G9*100/F9)-100)</f>
        <v>17.96875</v>
      </c>
      <c r="I9" s="33" t="n">
        <v>114</v>
      </c>
      <c r="J9" s="1" t="n">
        <f aca="false">(F9-G9)*I9</f>
        <v>26.22</v>
      </c>
      <c r="K9" s="1" t="n">
        <f aca="false">G9*I9</f>
        <v>119.7</v>
      </c>
      <c r="M9" s="23" t="n">
        <v>1397</v>
      </c>
      <c r="N9" s="3" t="s">
        <v>4</v>
      </c>
      <c r="O9" s="23" t="n">
        <v>1397</v>
      </c>
      <c r="P9" s="0" t="s">
        <v>158</v>
      </c>
      <c r="R9" s="10" t="n">
        <f aca="false">(O9-L9)/G9</f>
        <v>1330.47619047619</v>
      </c>
    </row>
    <row r="10" customFormat="false" ht="16.4" hidden="false" customHeight="false" outlineLevel="0" collapsed="false">
      <c r="A10" s="1"/>
      <c r="D10" s="1"/>
      <c r="F10" s="1"/>
      <c r="G10" s="1"/>
      <c r="H10" s="1"/>
      <c r="J10" s="1"/>
      <c r="K10" s="1" t="n">
        <f aca="false">G10*I10</f>
        <v>0</v>
      </c>
      <c r="M10" s="23"/>
      <c r="N10" s="3" t="s">
        <v>4</v>
      </c>
      <c r="O10" s="23"/>
      <c r="R10" s="10"/>
    </row>
    <row r="11" customFormat="false" ht="16.4" hidden="false" customHeight="false" outlineLevel="0" collapsed="false">
      <c r="A11" s="1" t="n">
        <v>6119</v>
      </c>
      <c r="B11" s="0" t="s">
        <v>159</v>
      </c>
      <c r="C11" s="0" t="s">
        <v>34</v>
      </c>
      <c r="D11" s="1" t="s">
        <v>24</v>
      </c>
      <c r="E11" s="0" t="s">
        <v>28</v>
      </c>
      <c r="F11" s="1" t="n">
        <v>1.21</v>
      </c>
      <c r="G11" s="1" t="n">
        <v>1.21</v>
      </c>
      <c r="H11" s="1" t="n">
        <f aca="false">-((G11*100/F11)-100)</f>
        <v>-0</v>
      </c>
      <c r="I11" s="33" t="n">
        <v>250</v>
      </c>
      <c r="J11" s="1" t="n">
        <f aca="false">(F11-G11)*I11</f>
        <v>0</v>
      </c>
      <c r="K11" s="1" t="n">
        <f aca="false">G11*I11</f>
        <v>302.5</v>
      </c>
      <c r="M11" s="23" t="n">
        <v>904</v>
      </c>
      <c r="N11" s="3" t="s">
        <v>4</v>
      </c>
      <c r="O11" s="23" t="n">
        <v>904</v>
      </c>
      <c r="P11" s="0" t="s">
        <v>26</v>
      </c>
      <c r="R11" s="10" t="n">
        <f aca="false">(O11-L11)/G11</f>
        <v>747.107438016529</v>
      </c>
    </row>
    <row r="12" customFormat="false" ht="16.4" hidden="false" customHeight="false" outlineLevel="0" collapsed="false">
      <c r="A12" s="1"/>
      <c r="D12" s="1"/>
      <c r="F12" s="1"/>
      <c r="G12" s="1"/>
      <c r="H12" s="1"/>
      <c r="J12" s="1"/>
      <c r="K12" s="1" t="n">
        <f aca="false">G12*I12</f>
        <v>0</v>
      </c>
      <c r="M12" s="23"/>
      <c r="N12" s="3" t="s">
        <v>4</v>
      </c>
      <c r="O12" s="23"/>
      <c r="R12" s="10"/>
    </row>
    <row r="13" customFormat="false" ht="16.4" hidden="false" customHeight="false" outlineLevel="0" collapsed="false">
      <c r="A13" s="1" t="n">
        <v>6068</v>
      </c>
      <c r="B13" s="0" t="s">
        <v>47</v>
      </c>
      <c r="C13" s="0" t="s">
        <v>160</v>
      </c>
      <c r="D13" s="1" t="s">
        <v>37</v>
      </c>
      <c r="E13" s="0" t="s">
        <v>38</v>
      </c>
      <c r="F13" s="1" t="n">
        <v>1.97</v>
      </c>
      <c r="G13" s="1" t="n">
        <v>1.97</v>
      </c>
      <c r="H13" s="1" t="n">
        <f aca="false">-((G13*100/F13)-100)</f>
        <v>-0</v>
      </c>
      <c r="I13" s="33" t="n">
        <v>381</v>
      </c>
      <c r="J13" s="1" t="n">
        <f aca="false">(F13-G13)*I13</f>
        <v>0</v>
      </c>
      <c r="K13" s="1" t="n">
        <f aca="false">G13*I13</f>
        <v>750.57</v>
      </c>
      <c r="M13" s="32" t="n">
        <v>2955</v>
      </c>
      <c r="N13" s="3" t="s">
        <v>4</v>
      </c>
      <c r="O13" s="32" t="n">
        <v>2955</v>
      </c>
      <c r="P13" s="0" t="s">
        <v>161</v>
      </c>
      <c r="R13" s="10" t="n">
        <f aca="false">(O13-L13)/G13</f>
        <v>1500</v>
      </c>
    </row>
    <row r="14" customFormat="false" ht="16.4" hidden="false" customHeight="false" outlineLevel="0" collapsed="false">
      <c r="A14" s="1"/>
      <c r="D14" s="1"/>
      <c r="F14" s="1"/>
      <c r="G14" s="1"/>
      <c r="H14" s="1"/>
      <c r="J14" s="1"/>
      <c r="K14" s="1" t="n">
        <f aca="false">G14*I14</f>
        <v>0</v>
      </c>
      <c r="M14" s="23"/>
      <c r="N14" s="3" t="s">
        <v>4</v>
      </c>
      <c r="O14" s="23"/>
      <c r="R14" s="10"/>
    </row>
    <row r="15" customFormat="false" ht="16.4" hidden="false" customHeight="false" outlineLevel="0" collapsed="false">
      <c r="A15" s="1" t="n">
        <v>6114</v>
      </c>
      <c r="B15" s="0" t="s">
        <v>44</v>
      </c>
      <c r="C15" s="0" t="s">
        <v>162</v>
      </c>
      <c r="D15" s="1" t="s">
        <v>53</v>
      </c>
      <c r="E15" s="0" t="s">
        <v>163</v>
      </c>
      <c r="F15" s="1" t="n">
        <v>7.73</v>
      </c>
      <c r="G15" s="1" t="n">
        <v>7.73</v>
      </c>
      <c r="H15" s="1" t="n">
        <f aca="false">-((G15*100/F15)-100)</f>
        <v>-0</v>
      </c>
      <c r="I15" s="33" t="n">
        <v>171</v>
      </c>
      <c r="J15" s="1" t="n">
        <f aca="false">(F15-G15)*I15</f>
        <v>0</v>
      </c>
      <c r="K15" s="1" t="n">
        <f aca="false">G15*I15</f>
        <v>1321.83</v>
      </c>
      <c r="M15" s="23" t="n">
        <v>7754</v>
      </c>
      <c r="N15" s="3" t="s">
        <v>4</v>
      </c>
      <c r="O15" s="23" t="n">
        <v>7754</v>
      </c>
      <c r="P15" s="0" t="s">
        <v>29</v>
      </c>
      <c r="R15" s="10" t="n">
        <f aca="false">(O15-L15)/G15</f>
        <v>1003.10478654592</v>
      </c>
    </row>
    <row r="16" customFormat="false" ht="16.4" hidden="false" customHeight="false" outlineLevel="0" collapsed="false">
      <c r="A16" s="1"/>
      <c r="D16" s="1"/>
      <c r="F16" s="1"/>
      <c r="G16" s="1"/>
      <c r="H16" s="1"/>
      <c r="J16" s="1"/>
      <c r="K16" s="1" t="n">
        <f aca="false">G16*I16</f>
        <v>0</v>
      </c>
      <c r="M16" s="23"/>
      <c r="N16" s="3" t="s">
        <v>4</v>
      </c>
      <c r="O16" s="23"/>
      <c r="R16" s="10"/>
    </row>
    <row r="17" customFormat="false" ht="16.4" hidden="false" customHeight="false" outlineLevel="0" collapsed="false">
      <c r="A17" s="1" t="n">
        <v>6094</v>
      </c>
      <c r="B17" s="0" t="s">
        <v>164</v>
      </c>
      <c r="C17" s="0" t="s">
        <v>55</v>
      </c>
      <c r="D17" s="1" t="s">
        <v>24</v>
      </c>
      <c r="E17" s="0" t="s">
        <v>165</v>
      </c>
      <c r="F17" s="1" t="n">
        <v>5.74</v>
      </c>
      <c r="G17" s="1" t="n">
        <v>5.74</v>
      </c>
      <c r="H17" s="1" t="n">
        <f aca="false">-((G17*100/F17)-100)</f>
        <v>-0</v>
      </c>
      <c r="I17" s="33" t="n">
        <v>164</v>
      </c>
      <c r="J17" s="1" t="n">
        <f aca="false">(F17-G17)*I17</f>
        <v>0</v>
      </c>
      <c r="K17" s="1" t="n">
        <f aca="false">G17*I17</f>
        <v>941.36</v>
      </c>
      <c r="M17" s="23" t="n">
        <v>6066.5</v>
      </c>
      <c r="N17" s="3" t="s">
        <v>4</v>
      </c>
      <c r="O17" s="23" t="n">
        <v>6066.5</v>
      </c>
      <c r="P17" s="0" t="s">
        <v>26</v>
      </c>
      <c r="R17" s="10" t="n">
        <f aca="false">(O17-L17)/G17</f>
        <v>1056.88153310105</v>
      </c>
    </row>
    <row r="18" customFormat="false" ht="16.4" hidden="false" customHeight="false" outlineLevel="0" collapsed="false">
      <c r="A18" s="1" t="n">
        <v>6094</v>
      </c>
      <c r="B18" s="0" t="s">
        <v>164</v>
      </c>
      <c r="C18" s="0" t="s">
        <v>55</v>
      </c>
      <c r="D18" s="1" t="s">
        <v>24</v>
      </c>
      <c r="E18" s="0" t="s">
        <v>165</v>
      </c>
      <c r="F18" s="1" t="n">
        <v>5.74</v>
      </c>
      <c r="G18" s="1" t="n">
        <v>5.74</v>
      </c>
      <c r="H18" s="1" t="n">
        <f aca="false">-((G18*100/F18)-100)</f>
        <v>-0</v>
      </c>
      <c r="I18" s="33" t="n">
        <v>164</v>
      </c>
      <c r="J18" s="1" t="n">
        <f aca="false">(F18-G18)*I18</f>
        <v>0</v>
      </c>
      <c r="K18" s="1" t="n">
        <f aca="false">G18*I18</f>
        <v>941.36</v>
      </c>
      <c r="M18" s="23" t="n">
        <v>6066.5</v>
      </c>
      <c r="N18" s="3" t="s">
        <v>4</v>
      </c>
      <c r="O18" s="23" t="n">
        <v>6066.5</v>
      </c>
      <c r="P18" s="0" t="s">
        <v>29</v>
      </c>
      <c r="R18" s="10" t="n">
        <f aca="false">(O18-L18)/G18</f>
        <v>1056.88153310105</v>
      </c>
    </row>
    <row r="19" customFormat="false" ht="16.4" hidden="false" customHeight="false" outlineLevel="0" collapsed="false">
      <c r="A19" s="1" t="n">
        <v>6094</v>
      </c>
      <c r="B19" s="0" t="s">
        <v>164</v>
      </c>
      <c r="C19" s="0" t="s">
        <v>70</v>
      </c>
      <c r="D19" s="1" t="s">
        <v>24</v>
      </c>
      <c r="E19" s="0" t="s">
        <v>165</v>
      </c>
      <c r="F19" s="1" t="n">
        <v>1.58</v>
      </c>
      <c r="G19" s="1" t="n">
        <v>1.58</v>
      </c>
      <c r="H19" s="1" t="n">
        <f aca="false">-((G19*100/F19)-100)</f>
        <v>-0</v>
      </c>
      <c r="I19" s="33" t="n">
        <v>164</v>
      </c>
      <c r="J19" s="1" t="n">
        <f aca="false">(F19-G19)*I19</f>
        <v>0</v>
      </c>
      <c r="K19" s="1" t="n">
        <f aca="false">G19*I19</f>
        <v>259.12</v>
      </c>
      <c r="M19" s="23" t="n">
        <v>1856</v>
      </c>
      <c r="N19" s="3" t="s">
        <v>4</v>
      </c>
      <c r="O19" s="23" t="n">
        <v>1856</v>
      </c>
      <c r="P19" s="0" t="s">
        <v>26</v>
      </c>
      <c r="R19" s="10" t="n">
        <f aca="false">(O19-L19)/G19</f>
        <v>1174.6835443038</v>
      </c>
    </row>
    <row r="20" customFormat="false" ht="16.4" hidden="false" customHeight="false" outlineLevel="0" collapsed="false">
      <c r="A20" s="1" t="n">
        <v>6094</v>
      </c>
      <c r="B20" s="0" t="s">
        <v>164</v>
      </c>
      <c r="C20" s="0" t="s">
        <v>154</v>
      </c>
      <c r="D20" s="1" t="s">
        <v>37</v>
      </c>
      <c r="E20" s="0" t="s">
        <v>38</v>
      </c>
      <c r="F20" s="1" t="n">
        <v>1.23</v>
      </c>
      <c r="G20" s="1" t="n">
        <v>1.23</v>
      </c>
      <c r="H20" s="1" t="n">
        <f aca="false">-((G20*100/F20)-100)</f>
        <v>-0</v>
      </c>
      <c r="I20" s="33" t="n">
        <v>450</v>
      </c>
      <c r="J20" s="1" t="n">
        <f aca="false">(F20-G20)*I20</f>
        <v>0</v>
      </c>
      <c r="K20" s="1" t="n">
        <f aca="false">G20*I20</f>
        <v>553.5</v>
      </c>
      <c r="M20" s="23" t="n">
        <v>1848</v>
      </c>
      <c r="N20" s="3" t="s">
        <v>4</v>
      </c>
      <c r="O20" s="23" t="n">
        <v>1848</v>
      </c>
      <c r="P20" s="0" t="s">
        <v>29</v>
      </c>
      <c r="R20" s="10" t="n">
        <f aca="false">(O20-L20)/G20</f>
        <v>1502.43902439024</v>
      </c>
    </row>
    <row r="21" customFormat="false" ht="16.4" hidden="false" customHeight="false" outlineLevel="0" collapsed="false">
      <c r="A21" s="1" t="n">
        <v>6094</v>
      </c>
      <c r="B21" s="0" t="s">
        <v>164</v>
      </c>
      <c r="C21" s="0" t="s">
        <v>57</v>
      </c>
      <c r="D21" s="1" t="s">
        <v>37</v>
      </c>
      <c r="E21" s="0" t="s">
        <v>38</v>
      </c>
      <c r="F21" s="1" t="n">
        <v>0.51</v>
      </c>
      <c r="G21" s="1" t="n">
        <v>0.51</v>
      </c>
      <c r="H21" s="1" t="n">
        <f aca="false">-((G21*100/F21)-100)</f>
        <v>-0</v>
      </c>
      <c r="I21" s="33" t="n">
        <v>450</v>
      </c>
      <c r="J21" s="1" t="n">
        <f aca="false">(F21-G21)*I21</f>
        <v>0</v>
      </c>
      <c r="K21" s="1" t="n">
        <f aca="false">G21*I21</f>
        <v>229.5</v>
      </c>
      <c r="M21" s="23" t="n">
        <v>660</v>
      </c>
      <c r="N21" s="3" t="s">
        <v>4</v>
      </c>
      <c r="O21" s="23" t="n">
        <v>660</v>
      </c>
      <c r="P21" s="0" t="s">
        <v>29</v>
      </c>
      <c r="R21" s="10" t="n">
        <f aca="false">(O21-L21)/G21</f>
        <v>1294.11764705882</v>
      </c>
    </row>
    <row r="22" customFormat="false" ht="16.4" hidden="false" customHeight="false" outlineLevel="0" collapsed="false">
      <c r="A22" s="1" t="n">
        <v>6094</v>
      </c>
      <c r="B22" s="0" t="s">
        <v>164</v>
      </c>
      <c r="C22" s="0" t="s">
        <v>166</v>
      </c>
      <c r="D22" s="1" t="s">
        <v>37</v>
      </c>
      <c r="E22" s="0" t="s">
        <v>38</v>
      </c>
      <c r="F22" s="1" t="n">
        <v>0.68</v>
      </c>
      <c r="G22" s="1" t="n">
        <v>0.68</v>
      </c>
      <c r="H22" s="1" t="n">
        <f aca="false">-((G22*100/F22)-100)</f>
        <v>-0</v>
      </c>
      <c r="I22" s="33" t="n">
        <v>450</v>
      </c>
      <c r="J22" s="1" t="n">
        <f aca="false">(F22-G22)*I22</f>
        <v>0</v>
      </c>
      <c r="K22" s="1" t="n">
        <f aca="false">G22*I22</f>
        <v>306</v>
      </c>
      <c r="M22" s="23" t="n">
        <v>1011</v>
      </c>
      <c r="N22" s="3" t="s">
        <v>4</v>
      </c>
      <c r="O22" s="23" t="n">
        <v>1011</v>
      </c>
      <c r="P22" s="0" t="s">
        <v>29</v>
      </c>
      <c r="R22" s="10" t="n">
        <f aca="false">(O22-L22)/G22</f>
        <v>1486.76470588235</v>
      </c>
    </row>
    <row r="23" customFormat="false" ht="16.4" hidden="false" customHeight="false" outlineLevel="0" collapsed="false">
      <c r="A23" s="1" t="n">
        <v>6094</v>
      </c>
      <c r="B23" s="0" t="s">
        <v>164</v>
      </c>
      <c r="C23" s="0" t="s">
        <v>167</v>
      </c>
      <c r="D23" s="1" t="s">
        <v>37</v>
      </c>
      <c r="E23" s="0" t="s">
        <v>38</v>
      </c>
      <c r="F23" s="1" t="n">
        <v>0.49</v>
      </c>
      <c r="G23" s="1" t="n">
        <v>0.49</v>
      </c>
      <c r="H23" s="1" t="n">
        <f aca="false">-((G23*100/F23)-100)</f>
        <v>-0</v>
      </c>
      <c r="I23" s="33" t="n">
        <v>450</v>
      </c>
      <c r="J23" s="1" t="n">
        <f aca="false">(F23-G23)*I23</f>
        <v>0</v>
      </c>
      <c r="K23" s="1" t="n">
        <f aca="false">G23*I23</f>
        <v>220.5</v>
      </c>
      <c r="M23" s="23" t="n">
        <v>635</v>
      </c>
      <c r="N23" s="3" t="s">
        <v>4</v>
      </c>
      <c r="O23" s="23" t="n">
        <v>635</v>
      </c>
      <c r="P23" s="0" t="s">
        <v>29</v>
      </c>
      <c r="R23" s="10" t="n">
        <f aca="false">(O23-L23)/G23</f>
        <v>1295.91836734694</v>
      </c>
    </row>
    <row r="24" customFormat="false" ht="16.4" hidden="false" customHeight="false" outlineLevel="0" collapsed="false">
      <c r="A24" s="1" t="n">
        <v>6094</v>
      </c>
      <c r="B24" s="0" t="s">
        <v>164</v>
      </c>
      <c r="C24" s="0" t="s">
        <v>168</v>
      </c>
      <c r="D24" s="1" t="s">
        <v>24</v>
      </c>
      <c r="E24" s="0" t="s">
        <v>79</v>
      </c>
      <c r="F24" s="1" t="n">
        <v>1.06</v>
      </c>
      <c r="G24" s="1" t="n">
        <v>1.06</v>
      </c>
      <c r="H24" s="1" t="n">
        <f aca="false">-((G24*100/F24)-100)</f>
        <v>-0</v>
      </c>
      <c r="I24" s="33" t="n">
        <v>222</v>
      </c>
      <c r="J24" s="1" t="n">
        <f aca="false">(F24-G24)*I24</f>
        <v>0</v>
      </c>
      <c r="K24" s="1" t="n">
        <f aca="false">G24*I24</f>
        <v>235.32</v>
      </c>
      <c r="M24" s="23" t="n">
        <v>1300</v>
      </c>
      <c r="N24" s="3" t="s">
        <v>4</v>
      </c>
      <c r="O24" s="23" t="n">
        <v>1300</v>
      </c>
      <c r="P24" s="0" t="s">
        <v>29</v>
      </c>
      <c r="R24" s="10" t="n">
        <f aca="false">(O24-L24)/G24</f>
        <v>1226.41509433962</v>
      </c>
    </row>
    <row r="25" customFormat="false" ht="16.4" hidden="false" customHeight="false" outlineLevel="0" collapsed="false">
      <c r="F25" s="1"/>
      <c r="G25" s="1"/>
      <c r="K25" s="1" t="n">
        <f aca="false">G25*I25</f>
        <v>0</v>
      </c>
      <c r="N25" s="3" t="s">
        <v>4</v>
      </c>
    </row>
    <row r="26" customFormat="false" ht="16.4" hidden="false" customHeight="false" outlineLevel="0" collapsed="false">
      <c r="A26" s="1" t="n">
        <v>6112</v>
      </c>
      <c r="B26" s="0" t="s">
        <v>169</v>
      </c>
      <c r="C26" s="0" t="s">
        <v>170</v>
      </c>
      <c r="D26" s="1" t="s">
        <v>37</v>
      </c>
      <c r="E26" s="0" t="s">
        <v>38</v>
      </c>
      <c r="F26" s="1" t="n">
        <v>2.1</v>
      </c>
      <c r="G26" s="1" t="n">
        <v>2.1</v>
      </c>
      <c r="H26" s="1" t="n">
        <f aca="false">-((G26*100/F26)-100)</f>
        <v>-0</v>
      </c>
      <c r="I26" s="33" t="n">
        <v>450</v>
      </c>
      <c r="J26" s="1" t="n">
        <f aca="false">(F26-G26)*I26</f>
        <v>0</v>
      </c>
      <c r="K26" s="1" t="n">
        <f aca="false">G26*I26</f>
        <v>945</v>
      </c>
      <c r="M26" s="23" t="n">
        <v>3389</v>
      </c>
      <c r="N26" s="3" t="s">
        <v>4</v>
      </c>
      <c r="O26" s="23" t="n">
        <v>3389</v>
      </c>
      <c r="P26" s="0" t="s">
        <v>29</v>
      </c>
      <c r="R26" s="10" t="n">
        <f aca="false">(O26-L26)/G26</f>
        <v>1613.80952380952</v>
      </c>
    </row>
    <row r="27" customFormat="false" ht="16.4" hidden="false" customHeight="false" outlineLevel="0" collapsed="false">
      <c r="A27" s="1" t="n">
        <v>6112</v>
      </c>
      <c r="B27" s="0" t="s">
        <v>169</v>
      </c>
      <c r="C27" s="0" t="s">
        <v>171</v>
      </c>
      <c r="D27" s="1" t="s">
        <v>53</v>
      </c>
      <c r="E27" s="0" t="s">
        <v>54</v>
      </c>
      <c r="F27" s="1" t="n">
        <v>4.95</v>
      </c>
      <c r="G27" s="1" t="n">
        <v>4.95</v>
      </c>
      <c r="H27" s="1" t="n">
        <f aca="false">-((G27*100/F27)-100)</f>
        <v>-0</v>
      </c>
      <c r="I27" s="33" t="n">
        <v>730</v>
      </c>
      <c r="J27" s="1" t="n">
        <f aca="false">(F27-G27)*I27</f>
        <v>0</v>
      </c>
      <c r="K27" s="1" t="n">
        <f aca="false">G27*I27</f>
        <v>3613.5</v>
      </c>
      <c r="M27" s="23" t="n">
        <v>10136</v>
      </c>
      <c r="N27" s="3" t="s">
        <v>4</v>
      </c>
      <c r="O27" s="23" t="n">
        <v>10136</v>
      </c>
      <c r="P27" s="0" t="s">
        <v>26</v>
      </c>
      <c r="R27" s="10" t="n">
        <f aca="false">(O27-L27)/G27</f>
        <v>2047.67676767677</v>
      </c>
    </row>
    <row r="28" customFormat="false" ht="16.4" hidden="false" customHeight="false" outlineLevel="0" collapsed="false">
      <c r="A28" s="1" t="n">
        <v>6112</v>
      </c>
      <c r="B28" s="0" t="s">
        <v>169</v>
      </c>
      <c r="C28" s="0" t="s">
        <v>172</v>
      </c>
      <c r="D28" s="1" t="s">
        <v>53</v>
      </c>
      <c r="E28" s="0" t="s">
        <v>54</v>
      </c>
      <c r="F28" s="1" t="n">
        <v>0.48</v>
      </c>
      <c r="G28" s="1" t="n">
        <v>0.48</v>
      </c>
      <c r="H28" s="1" t="n">
        <f aca="false">-((G28*100/F28)-100)</f>
        <v>-0</v>
      </c>
      <c r="I28" s="33" t="n">
        <v>730</v>
      </c>
      <c r="J28" s="1" t="n">
        <f aca="false">(F28-G28)*I28</f>
        <v>0</v>
      </c>
      <c r="K28" s="1" t="n">
        <f aca="false">G28*I28</f>
        <v>350.4</v>
      </c>
      <c r="M28" s="23" t="n">
        <v>741</v>
      </c>
      <c r="N28" s="3" t="s">
        <v>4</v>
      </c>
      <c r="O28" s="23" t="n">
        <v>741</v>
      </c>
      <c r="P28" s="0" t="s">
        <v>26</v>
      </c>
      <c r="R28" s="10" t="n">
        <f aca="false">(O28-L28)/G28</f>
        <v>1543.75</v>
      </c>
    </row>
    <row r="29" customFormat="false" ht="16.4" hidden="false" customHeight="false" outlineLevel="0" collapsed="false">
      <c r="A29" s="1" t="n">
        <v>6112</v>
      </c>
      <c r="B29" s="0" t="s">
        <v>169</v>
      </c>
      <c r="C29" s="0" t="s">
        <v>173</v>
      </c>
      <c r="D29" s="1" t="s">
        <v>37</v>
      </c>
      <c r="E29" s="0" t="s">
        <v>38</v>
      </c>
      <c r="F29" s="1" t="n">
        <v>0.25</v>
      </c>
      <c r="G29" s="1" t="n">
        <v>0.25</v>
      </c>
      <c r="H29" s="1" t="n">
        <f aca="false">-((G29*100/F29)-100)</f>
        <v>-0</v>
      </c>
      <c r="I29" s="33" t="n">
        <v>450</v>
      </c>
      <c r="J29" s="1" t="n">
        <f aca="false">(F29-G29)*I29</f>
        <v>0</v>
      </c>
      <c r="K29" s="1" t="n">
        <f aca="false">G29*I29</f>
        <v>112.5</v>
      </c>
      <c r="M29" s="23" t="n">
        <v>397</v>
      </c>
      <c r="N29" s="3" t="s">
        <v>4</v>
      </c>
      <c r="O29" s="23" t="n">
        <v>397</v>
      </c>
      <c r="P29" s="0" t="s">
        <v>29</v>
      </c>
      <c r="R29" s="10" t="n">
        <f aca="false">(O29-L29)/G29</f>
        <v>1588</v>
      </c>
    </row>
    <row r="30" customFormat="false" ht="16.4" hidden="false" customHeight="false" outlineLevel="0" collapsed="false">
      <c r="A30" s="1" t="n">
        <v>6112</v>
      </c>
      <c r="B30" s="0" t="s">
        <v>169</v>
      </c>
      <c r="C30" s="0" t="s">
        <v>174</v>
      </c>
      <c r="D30" s="1" t="s">
        <v>37</v>
      </c>
      <c r="E30" s="0" t="s">
        <v>38</v>
      </c>
      <c r="F30" s="1" t="n">
        <v>0.29</v>
      </c>
      <c r="G30" s="1" t="n">
        <v>0.29</v>
      </c>
      <c r="H30" s="1" t="n">
        <f aca="false">-((G30*100/F30)-100)</f>
        <v>-0</v>
      </c>
      <c r="I30" s="33" t="n">
        <v>450</v>
      </c>
      <c r="J30" s="1" t="n">
        <f aca="false">(F30-G30)*I30</f>
        <v>0</v>
      </c>
      <c r="K30" s="1" t="n">
        <f aca="false">G30*I30</f>
        <v>130.5</v>
      </c>
      <c r="M30" s="23" t="n">
        <v>460</v>
      </c>
      <c r="N30" s="3" t="s">
        <v>4</v>
      </c>
      <c r="O30" s="23" t="n">
        <v>460</v>
      </c>
      <c r="P30" s="0" t="s">
        <v>29</v>
      </c>
      <c r="R30" s="10" t="n">
        <f aca="false">(O30-L30)/G30</f>
        <v>1586.20689655172</v>
      </c>
    </row>
    <row r="31" customFormat="false" ht="16.4" hidden="false" customHeight="false" outlineLevel="0" collapsed="false">
      <c r="A31" s="1"/>
      <c r="D31" s="1"/>
      <c r="F31" s="1"/>
      <c r="G31" s="1"/>
      <c r="H31" s="1"/>
      <c r="I31" s="1"/>
      <c r="J31" s="1"/>
      <c r="K31" s="1" t="n">
        <f aca="false">G31*I31</f>
        <v>0</v>
      </c>
      <c r="M31" s="23"/>
      <c r="N31" s="3" t="s">
        <v>4</v>
      </c>
      <c r="O31" s="23"/>
      <c r="R31" s="10"/>
    </row>
    <row r="32" customFormat="false" ht="16.4" hidden="false" customHeight="false" outlineLevel="0" collapsed="false">
      <c r="A32" s="1" t="n">
        <v>6117</v>
      </c>
      <c r="B32" s="0" t="s">
        <v>175</v>
      </c>
      <c r="C32" s="0" t="s">
        <v>55</v>
      </c>
      <c r="D32" s="1" t="s">
        <v>24</v>
      </c>
      <c r="E32" s="0" t="s">
        <v>176</v>
      </c>
      <c r="F32" s="1" t="n">
        <v>3.415</v>
      </c>
      <c r="G32" s="1" t="n">
        <v>3.415</v>
      </c>
      <c r="H32" s="1" t="n">
        <f aca="false">-((G32*100/F32)-100)</f>
        <v>-0</v>
      </c>
      <c r="I32" s="33" t="n">
        <v>250</v>
      </c>
      <c r="J32" s="1" t="n">
        <f aca="false">(F32-G32)*I32</f>
        <v>0</v>
      </c>
      <c r="K32" s="1" t="n">
        <f aca="false">G32*I32</f>
        <v>853.75</v>
      </c>
      <c r="M32" s="23" t="n">
        <v>4089</v>
      </c>
      <c r="N32" s="3" t="s">
        <v>4</v>
      </c>
      <c r="O32" s="23" t="n">
        <v>4089</v>
      </c>
      <c r="P32" s="0" t="s">
        <v>29</v>
      </c>
      <c r="R32" s="10" t="n">
        <f aca="false">(O32-L32)/G32</f>
        <v>1197.36456808199</v>
      </c>
    </row>
    <row r="33" customFormat="false" ht="16.4" hidden="false" customHeight="false" outlineLevel="0" collapsed="false">
      <c r="A33" s="1" t="n">
        <v>6117</v>
      </c>
      <c r="B33" s="0" t="s">
        <v>175</v>
      </c>
      <c r="C33" s="0" t="s">
        <v>55</v>
      </c>
      <c r="D33" s="1" t="s">
        <v>24</v>
      </c>
      <c r="E33" s="0" t="s">
        <v>176</v>
      </c>
      <c r="F33" s="1" t="n">
        <v>3.415</v>
      </c>
      <c r="G33" s="1" t="n">
        <v>3.415</v>
      </c>
      <c r="H33" s="1" t="n">
        <f aca="false">-((G33*100/F33)-100)</f>
        <v>-0</v>
      </c>
      <c r="I33" s="33" t="n">
        <v>250</v>
      </c>
      <c r="J33" s="1" t="n">
        <f aca="false">(F33-G33)*I33</f>
        <v>0</v>
      </c>
      <c r="K33" s="1" t="n">
        <f aca="false">G33*I33</f>
        <v>853.75</v>
      </c>
      <c r="M33" s="23" t="n">
        <v>4089</v>
      </c>
      <c r="N33" s="3" t="s">
        <v>4</v>
      </c>
      <c r="O33" s="23" t="n">
        <v>4089</v>
      </c>
      <c r="P33" s="0" t="s">
        <v>26</v>
      </c>
      <c r="R33" s="10" t="n">
        <f aca="false">(O33-L33)/G33</f>
        <v>1197.36456808199</v>
      </c>
    </row>
    <row r="34" customFormat="false" ht="16.4" hidden="false" customHeight="false" outlineLevel="0" collapsed="false">
      <c r="A34" s="1"/>
      <c r="D34" s="1"/>
      <c r="F34" s="1"/>
      <c r="G34" s="1"/>
      <c r="H34" s="1"/>
      <c r="I34" s="1"/>
      <c r="J34" s="1"/>
      <c r="K34" s="1" t="n">
        <f aca="false">G34*I34</f>
        <v>0</v>
      </c>
      <c r="M34" s="23"/>
      <c r="N34" s="3" t="s">
        <v>4</v>
      </c>
      <c r="O34" s="23"/>
      <c r="R34" s="10"/>
    </row>
    <row r="35" customFormat="false" ht="16.4" hidden="false" customHeight="false" outlineLevel="0" collapsed="false">
      <c r="A35" s="1" t="n">
        <v>6123</v>
      </c>
      <c r="B35" s="0" t="s">
        <v>177</v>
      </c>
      <c r="C35" s="0" t="s">
        <v>57</v>
      </c>
      <c r="D35" s="1" t="s">
        <v>37</v>
      </c>
      <c r="E35" s="0" t="s">
        <v>38</v>
      </c>
      <c r="F35" s="1" t="n">
        <v>0.58</v>
      </c>
      <c r="G35" s="1" t="n">
        <v>0.58</v>
      </c>
      <c r="H35" s="1" t="n">
        <f aca="false">-((G35*100/F35)-100)</f>
        <v>-0</v>
      </c>
      <c r="I35" s="33" t="n">
        <v>450</v>
      </c>
      <c r="J35" s="1" t="n">
        <f aca="false">(F35-G35)*I35</f>
        <v>0</v>
      </c>
      <c r="K35" s="1" t="n">
        <f aca="false">G35*I35</f>
        <v>261</v>
      </c>
      <c r="M35" s="23" t="n">
        <v>951</v>
      </c>
      <c r="N35" s="3" t="s">
        <v>4</v>
      </c>
      <c r="O35" s="23" t="n">
        <v>951</v>
      </c>
      <c r="P35" s="0" t="s">
        <v>26</v>
      </c>
      <c r="R35" s="10" t="n">
        <f aca="false">(O35-L35)/G35</f>
        <v>1639.65517241379</v>
      </c>
    </row>
    <row r="36" customFormat="false" ht="16.4" hidden="false" customHeight="false" outlineLevel="0" collapsed="false">
      <c r="A36" s="1" t="n">
        <v>6123</v>
      </c>
      <c r="B36" s="0" t="s">
        <v>177</v>
      </c>
      <c r="C36" s="0" t="s">
        <v>57</v>
      </c>
      <c r="D36" s="1" t="s">
        <v>37</v>
      </c>
      <c r="E36" s="0" t="s">
        <v>38</v>
      </c>
      <c r="F36" s="1" t="n">
        <v>0.82</v>
      </c>
      <c r="G36" s="1" t="n">
        <v>0.82</v>
      </c>
      <c r="H36" s="1" t="n">
        <f aca="false">-((G36*100/F36)-100)</f>
        <v>-0</v>
      </c>
      <c r="I36" s="33" t="n">
        <v>450</v>
      </c>
      <c r="J36" s="1" t="n">
        <f aca="false">(F36-G36)*I36</f>
        <v>0</v>
      </c>
      <c r="K36" s="1" t="n">
        <f aca="false">G36*I36</f>
        <v>369</v>
      </c>
      <c r="M36" s="23" t="n">
        <v>1344</v>
      </c>
      <c r="N36" s="3" t="s">
        <v>4</v>
      </c>
      <c r="O36" s="23" t="n">
        <v>1344</v>
      </c>
      <c r="P36" s="0" t="s">
        <v>26</v>
      </c>
      <c r="R36" s="10" t="n">
        <f aca="false">(O36-L36)/G36</f>
        <v>1639.0243902439</v>
      </c>
    </row>
    <row r="37" customFormat="false" ht="16.4" hidden="false" customHeight="false" outlineLevel="0" collapsed="false">
      <c r="A37" s="1" t="n">
        <v>6123</v>
      </c>
      <c r="B37" s="0" t="s">
        <v>177</v>
      </c>
      <c r="C37" s="0" t="s">
        <v>178</v>
      </c>
      <c r="D37" s="1" t="s">
        <v>37</v>
      </c>
      <c r="E37" s="0" t="s">
        <v>38</v>
      </c>
      <c r="F37" s="1" t="n">
        <v>0.24</v>
      </c>
      <c r="G37" s="1" t="n">
        <v>0.24</v>
      </c>
      <c r="H37" s="1" t="n">
        <f aca="false">-((G37*100/F37)-100)</f>
        <v>-0</v>
      </c>
      <c r="I37" s="33" t="n">
        <v>450</v>
      </c>
      <c r="J37" s="1" t="n">
        <f aca="false">(F37-G37)*I37</f>
        <v>0</v>
      </c>
      <c r="K37" s="1" t="n">
        <f aca="false">G37*I37</f>
        <v>108</v>
      </c>
      <c r="M37" s="23" t="n">
        <v>385</v>
      </c>
      <c r="N37" s="3" t="s">
        <v>4</v>
      </c>
      <c r="O37" s="23" t="n">
        <v>385</v>
      </c>
      <c r="P37" s="0" t="s">
        <v>26</v>
      </c>
      <c r="R37" s="10" t="n">
        <f aca="false">(O37-L37)/G37</f>
        <v>1604.16666666667</v>
      </c>
    </row>
    <row r="38" customFormat="false" ht="16.4" hidden="false" customHeight="false" outlineLevel="0" collapsed="false">
      <c r="A38" s="1" t="n">
        <v>6123</v>
      </c>
      <c r="B38" s="0" t="s">
        <v>177</v>
      </c>
      <c r="C38" s="0" t="s">
        <v>179</v>
      </c>
      <c r="D38" s="1" t="s">
        <v>37</v>
      </c>
      <c r="E38" s="0" t="s">
        <v>38</v>
      </c>
      <c r="F38" s="1" t="n">
        <v>1.74</v>
      </c>
      <c r="G38" s="1" t="n">
        <v>1.74</v>
      </c>
      <c r="H38" s="1" t="n">
        <f aca="false">-((G38*100/F38)-100)</f>
        <v>-0</v>
      </c>
      <c r="I38" s="33" t="n">
        <v>450</v>
      </c>
      <c r="J38" s="1" t="n">
        <f aca="false">(F38-G38)*I38</f>
        <v>0</v>
      </c>
      <c r="K38" s="1" t="n">
        <f aca="false">G38*I38</f>
        <v>783</v>
      </c>
      <c r="M38" s="23" t="n">
        <v>2349</v>
      </c>
      <c r="N38" s="3" t="s">
        <v>4</v>
      </c>
      <c r="O38" s="23" t="n">
        <v>2349</v>
      </c>
      <c r="P38" s="0" t="s">
        <v>26</v>
      </c>
      <c r="R38" s="10" t="n">
        <f aca="false">(O38-L38)/G38</f>
        <v>1350</v>
      </c>
    </row>
    <row r="39" customFormat="false" ht="16.4" hidden="false" customHeight="false" outlineLevel="0" collapsed="false">
      <c r="A39" s="1"/>
      <c r="D39" s="1"/>
      <c r="F39" s="1"/>
      <c r="G39" s="1"/>
      <c r="H39" s="1"/>
      <c r="I39" s="1"/>
      <c r="J39" s="1"/>
      <c r="K39" s="1" t="n">
        <f aca="false">G39*I39</f>
        <v>0</v>
      </c>
      <c r="M39" s="23"/>
      <c r="N39" s="3" t="s">
        <v>4</v>
      </c>
      <c r="O39" s="23"/>
      <c r="R39" s="10"/>
    </row>
    <row r="40" customFormat="false" ht="16.4" hidden="false" customHeight="false" outlineLevel="0" collapsed="false">
      <c r="A40" s="1" t="n">
        <v>6125</v>
      </c>
      <c r="B40" s="0" t="s">
        <v>180</v>
      </c>
      <c r="C40" s="0" t="s">
        <v>34</v>
      </c>
      <c r="D40" s="1" t="s">
        <v>24</v>
      </c>
      <c r="E40" s="0" t="s">
        <v>71</v>
      </c>
      <c r="F40" s="1" t="n">
        <v>0.81</v>
      </c>
      <c r="G40" s="1" t="n">
        <v>0.81</v>
      </c>
      <c r="H40" s="1" t="n">
        <f aca="false">-((G40*100/F40)-100)</f>
        <v>-0</v>
      </c>
      <c r="I40" s="33" t="n">
        <v>250</v>
      </c>
      <c r="J40" s="1" t="n">
        <f aca="false">(F40-G40)*I40</f>
        <v>0</v>
      </c>
      <c r="K40" s="1" t="n">
        <f aca="false">G40*I40</f>
        <v>202.5</v>
      </c>
      <c r="M40" s="23" t="n">
        <v>617</v>
      </c>
      <c r="N40" s="3" t="s">
        <v>4</v>
      </c>
      <c r="O40" s="23" t="n">
        <v>617</v>
      </c>
      <c r="P40" s="0" t="s">
        <v>26</v>
      </c>
      <c r="R40" s="10" t="n">
        <f aca="false">(O40-L40)/G40</f>
        <v>761.728395061728</v>
      </c>
    </row>
    <row r="41" customFormat="false" ht="16.4" hidden="false" customHeight="false" outlineLevel="0" collapsed="false">
      <c r="F41" s="1"/>
      <c r="G41" s="1"/>
      <c r="K41" s="1" t="n">
        <f aca="false">G41*I41</f>
        <v>0</v>
      </c>
      <c r="M41" s="23"/>
      <c r="N41" s="3" t="s">
        <v>4</v>
      </c>
    </row>
    <row r="42" customFormat="false" ht="16.4" hidden="false" customHeight="false" outlineLevel="0" collapsed="false">
      <c r="A42" s="1" t="n">
        <v>6112</v>
      </c>
      <c r="B42" s="0" t="s">
        <v>169</v>
      </c>
      <c r="C42" s="0" t="s">
        <v>55</v>
      </c>
      <c r="D42" s="1" t="s">
        <v>37</v>
      </c>
      <c r="E42" s="0" t="s">
        <v>38</v>
      </c>
      <c r="F42" s="1" t="n">
        <v>6.02</v>
      </c>
      <c r="G42" s="1" t="n">
        <v>6.02</v>
      </c>
      <c r="H42" s="1" t="n">
        <f aca="false">-((G42*100/F42)-100)</f>
        <v>-0</v>
      </c>
      <c r="I42" s="33" t="n">
        <v>450</v>
      </c>
      <c r="J42" s="1" t="n">
        <f aca="false">(F42-G42)*I42</f>
        <v>0</v>
      </c>
      <c r="K42" s="1" t="n">
        <f aca="false">G42*I42</f>
        <v>2709</v>
      </c>
      <c r="M42" s="23" t="n">
        <v>9678</v>
      </c>
      <c r="N42" s="3" t="s">
        <v>4</v>
      </c>
      <c r="O42" s="23" t="n">
        <v>9678</v>
      </c>
      <c r="P42" s="0" t="s">
        <v>29</v>
      </c>
      <c r="R42" s="10" t="n">
        <f aca="false">(O42-L42)/G42</f>
        <v>1607.64119601329</v>
      </c>
    </row>
    <row r="43" customFormat="false" ht="16.4" hidden="false" customHeight="false" outlineLevel="0" collapsed="false">
      <c r="A43" s="1"/>
      <c r="D43" s="1"/>
      <c r="F43" s="1"/>
      <c r="G43" s="1"/>
      <c r="H43" s="1"/>
      <c r="J43" s="1"/>
      <c r="K43" s="1" t="n">
        <f aca="false">G43*I43</f>
        <v>0</v>
      </c>
      <c r="M43" s="23"/>
      <c r="N43" s="3" t="s">
        <v>4</v>
      </c>
      <c r="O43" s="23"/>
      <c r="R43" s="10"/>
    </row>
    <row r="44" customFormat="false" ht="16.4" hidden="false" customHeight="false" outlineLevel="0" collapsed="false">
      <c r="A44" s="1" t="n">
        <v>6126</v>
      </c>
      <c r="B44" s="0" t="s">
        <v>181</v>
      </c>
      <c r="C44" s="0" t="s">
        <v>182</v>
      </c>
      <c r="H44" s="1" t="e">
        <f aca="false">-((G44*100/F44)-100)</f>
        <v>#DIV/0!</v>
      </c>
      <c r="J44" s="1" t="n">
        <f aca="false">(F44-G44)*I44</f>
        <v>0</v>
      </c>
      <c r="K44" s="1" t="n">
        <f aca="false">G44*I44</f>
        <v>0</v>
      </c>
      <c r="M44" s="23" t="n">
        <v>695</v>
      </c>
      <c r="N44" s="3" t="s">
        <v>4</v>
      </c>
      <c r="O44" s="23" t="n">
        <v>695</v>
      </c>
      <c r="P44" s="0" t="s">
        <v>40</v>
      </c>
      <c r="R44" s="10" t="e">
        <f aca="false">(O44-L44)/G44</f>
        <v>#DIV/0!</v>
      </c>
    </row>
    <row r="45" customFormat="false" ht="16.4" hidden="false" customHeight="false" outlineLevel="0" collapsed="false">
      <c r="A45" s="1"/>
      <c r="H45" s="1"/>
      <c r="J45" s="1"/>
      <c r="K45" s="1" t="n">
        <f aca="false">G45*I45</f>
        <v>0</v>
      </c>
      <c r="M45" s="23"/>
      <c r="N45" s="3" t="s">
        <v>4</v>
      </c>
      <c r="O45" s="23"/>
      <c r="R45" s="10"/>
    </row>
    <row r="46" customFormat="false" ht="16.4" hidden="false" customHeight="false" outlineLevel="0" collapsed="false">
      <c r="A46" s="1" t="n">
        <v>6112</v>
      </c>
      <c r="B46" s="0" t="s">
        <v>169</v>
      </c>
      <c r="C46" s="0" t="s">
        <v>183</v>
      </c>
      <c r="D46" s="1" t="s">
        <v>37</v>
      </c>
      <c r="E46" s="0" t="s">
        <v>38</v>
      </c>
      <c r="F46" s="1" t="n">
        <v>4.11</v>
      </c>
      <c r="G46" s="1" t="n">
        <v>4.11</v>
      </c>
      <c r="H46" s="1" t="n">
        <f aca="false">-((G46*100/F46)-100)</f>
        <v>-0</v>
      </c>
      <c r="I46" s="33" t="n">
        <v>450</v>
      </c>
      <c r="J46" s="1" t="n">
        <f aca="false">(F46-G46)*I46</f>
        <v>0</v>
      </c>
      <c r="K46" s="1" t="n">
        <f aca="false">G46*I46</f>
        <v>1849.5</v>
      </c>
      <c r="M46" s="23" t="n">
        <v>6607</v>
      </c>
      <c r="N46" s="3" t="s">
        <v>4</v>
      </c>
      <c r="O46" s="23" t="n">
        <v>6607</v>
      </c>
      <c r="P46" s="0" t="s">
        <v>29</v>
      </c>
      <c r="R46" s="10" t="n">
        <f aca="false">(O46-L46)/G46</f>
        <v>1607.54257907543</v>
      </c>
    </row>
    <row r="47" customFormat="false" ht="16.4" hidden="false" customHeight="false" outlineLevel="0" collapsed="false">
      <c r="F47" s="1"/>
      <c r="G47" s="1"/>
      <c r="K47" s="1" t="n">
        <f aca="false">G47*I47</f>
        <v>0</v>
      </c>
      <c r="M47" s="23"/>
      <c r="N47" s="3" t="s">
        <v>4</v>
      </c>
    </row>
    <row r="48" customFormat="false" ht="16.4" hidden="false" customHeight="false" outlineLevel="0" collapsed="false">
      <c r="A48" s="1" t="n">
        <v>6124</v>
      </c>
      <c r="B48" s="0" t="s">
        <v>184</v>
      </c>
      <c r="C48" s="0" t="s">
        <v>55</v>
      </c>
      <c r="D48" s="1" t="s">
        <v>53</v>
      </c>
      <c r="E48" s="0" t="s">
        <v>68</v>
      </c>
      <c r="F48" s="1" t="n">
        <v>2.61</v>
      </c>
      <c r="G48" s="1" t="n">
        <v>2.61</v>
      </c>
      <c r="H48" s="1" t="n">
        <f aca="false">-((G48*100/F48)-100)</f>
        <v>-0</v>
      </c>
      <c r="I48" s="33" t="n">
        <v>550</v>
      </c>
      <c r="J48" s="1" t="n">
        <f aca="false">(F48-G48)*I48</f>
        <v>0</v>
      </c>
      <c r="K48" s="1" t="n">
        <f aca="false">G48*I48</f>
        <v>1435.5</v>
      </c>
      <c r="M48" s="23" t="n">
        <v>3743</v>
      </c>
      <c r="N48" s="3" t="s">
        <v>4</v>
      </c>
      <c r="O48" s="23" t="n">
        <v>3743</v>
      </c>
      <c r="P48" s="0" t="s">
        <v>26</v>
      </c>
      <c r="R48" s="10" t="n">
        <f aca="false">(O48-L48)/G48</f>
        <v>1434.09961685824</v>
      </c>
    </row>
    <row r="49" customFormat="false" ht="16.4" hidden="false" customHeight="false" outlineLevel="0" collapsed="false">
      <c r="K49" s="1" t="n">
        <f aca="false">G49*I49</f>
        <v>0</v>
      </c>
      <c r="N49" s="3" t="s">
        <v>4</v>
      </c>
    </row>
    <row r="50" customFormat="false" ht="16.4" hidden="false" customHeight="false" outlineLevel="0" collapsed="false">
      <c r="A50" s="1" t="n">
        <v>6131</v>
      </c>
      <c r="B50" s="0" t="s">
        <v>185</v>
      </c>
      <c r="C50" s="0" t="s">
        <v>34</v>
      </c>
      <c r="D50" s="0" t="s">
        <v>24</v>
      </c>
      <c r="E50" s="0" t="s">
        <v>35</v>
      </c>
      <c r="F50" s="1" t="n">
        <v>1.46</v>
      </c>
      <c r="G50" s="1" t="n">
        <v>1.46</v>
      </c>
      <c r="H50" s="1" t="n">
        <f aca="false">-((G50*100/F50)-100)</f>
        <v>-0</v>
      </c>
      <c r="I50" s="33" t="n">
        <v>250</v>
      </c>
      <c r="J50" s="1" t="n">
        <f aca="false">(F50-G50)*I50</f>
        <v>0</v>
      </c>
      <c r="K50" s="1" t="n">
        <f aca="false">G50*I50</f>
        <v>365</v>
      </c>
      <c r="M50" s="23" t="n">
        <v>1786</v>
      </c>
      <c r="N50" s="3" t="s">
        <v>4</v>
      </c>
      <c r="O50" s="23" t="n">
        <v>1786</v>
      </c>
      <c r="P50" s="0" t="s">
        <v>26</v>
      </c>
      <c r="R50" s="10" t="n">
        <f aca="false">(O50-L50)/G50</f>
        <v>1223.28767123288</v>
      </c>
    </row>
    <row r="51" customFormat="false" ht="16.4" hidden="false" customHeight="false" outlineLevel="0" collapsed="false">
      <c r="F51" s="1"/>
      <c r="G51" s="1"/>
      <c r="K51" s="1" t="n">
        <f aca="false">G51*I51</f>
        <v>0</v>
      </c>
      <c r="M51" s="23"/>
      <c r="N51" s="3" t="s">
        <v>4</v>
      </c>
    </row>
    <row r="52" customFormat="false" ht="16.4" hidden="false" customHeight="false" outlineLevel="0" collapsed="false">
      <c r="A52" s="1" t="n">
        <v>6121</v>
      </c>
      <c r="B52" s="0" t="s">
        <v>164</v>
      </c>
      <c r="C52" s="0" t="s">
        <v>67</v>
      </c>
      <c r="D52" s="1" t="s">
        <v>53</v>
      </c>
      <c r="E52" s="0" t="s">
        <v>186</v>
      </c>
      <c r="F52" s="1" t="n">
        <v>2.01</v>
      </c>
      <c r="G52" s="1" t="n">
        <v>2.01</v>
      </c>
      <c r="H52" s="1" t="n">
        <f aca="false">-((G52*100/F52)-100)</f>
        <v>-0</v>
      </c>
      <c r="I52" s="33" t="n">
        <v>410</v>
      </c>
      <c r="J52" s="1" t="n">
        <f aca="false">(F52-G52)*I52</f>
        <v>0</v>
      </c>
      <c r="K52" s="1" t="n">
        <f aca="false">G52*I52</f>
        <v>824.1</v>
      </c>
      <c r="M52" s="23" t="n">
        <v>4949</v>
      </c>
      <c r="N52" s="3" t="s">
        <v>4</v>
      </c>
      <c r="O52" s="23" t="n">
        <v>4949</v>
      </c>
      <c r="P52" s="0" t="s">
        <v>29</v>
      </c>
      <c r="R52" s="10" t="n">
        <f aca="false">(O52-L52)/G52</f>
        <v>2462.18905472637</v>
      </c>
    </row>
    <row r="53" customFormat="false" ht="16.4" hidden="false" customHeight="false" outlineLevel="0" collapsed="false">
      <c r="A53" s="1"/>
      <c r="D53" s="1"/>
      <c r="F53" s="1"/>
      <c r="G53" s="1"/>
      <c r="H53" s="1"/>
      <c r="I53" s="1"/>
      <c r="J53" s="1"/>
      <c r="K53" s="1" t="n">
        <f aca="false">G53*I53</f>
        <v>0</v>
      </c>
      <c r="M53" s="23"/>
      <c r="N53" s="3" t="s">
        <v>4</v>
      </c>
      <c r="O53" s="23"/>
      <c r="R53" s="10"/>
    </row>
    <row r="54" customFormat="false" ht="16.4" hidden="false" customHeight="false" outlineLevel="0" collapsed="false">
      <c r="A54" s="1" t="n">
        <v>6107</v>
      </c>
      <c r="B54" s="0" t="s">
        <v>145</v>
      </c>
      <c r="C54" s="0" t="s">
        <v>42</v>
      </c>
      <c r="D54" s="1" t="s">
        <v>24</v>
      </c>
      <c r="E54" s="0" t="s">
        <v>187</v>
      </c>
      <c r="F54" s="1" t="n">
        <v>4.16</v>
      </c>
      <c r="G54" s="1" t="n">
        <v>4.16</v>
      </c>
      <c r="H54" s="1" t="n">
        <f aca="false">-((G54*100/F54)-100)</f>
        <v>-0</v>
      </c>
      <c r="I54" s="33" t="n">
        <v>250</v>
      </c>
      <c r="J54" s="1" t="n">
        <f aca="false">(F54-G54)*I54</f>
        <v>0</v>
      </c>
      <c r="K54" s="1" t="n">
        <f aca="false">G54*I54</f>
        <v>1040</v>
      </c>
      <c r="M54" s="23" t="n">
        <v>5000</v>
      </c>
      <c r="N54" s="3" t="s">
        <v>4</v>
      </c>
      <c r="O54" s="23" t="n">
        <v>5000</v>
      </c>
      <c r="P54" s="0" t="s">
        <v>29</v>
      </c>
      <c r="R54" s="10" t="n">
        <f aca="false">(O54-L54)/G54</f>
        <v>1201.92307692308</v>
      </c>
    </row>
    <row r="55" customFormat="false" ht="16.4" hidden="false" customHeight="false" outlineLevel="0" collapsed="false">
      <c r="A55" s="1" t="n">
        <v>6107</v>
      </c>
      <c r="B55" s="0" t="s">
        <v>145</v>
      </c>
      <c r="C55" s="0" t="s">
        <v>188</v>
      </c>
      <c r="D55" s="1" t="s">
        <v>24</v>
      </c>
      <c r="E55" s="0" t="s">
        <v>187</v>
      </c>
      <c r="F55" s="1" t="n">
        <v>0.46</v>
      </c>
      <c r="G55" s="1" t="n">
        <v>0.46</v>
      </c>
      <c r="H55" s="1" t="n">
        <f aca="false">-((G55*100/F55)-100)</f>
        <v>-0</v>
      </c>
      <c r="I55" s="33" t="n">
        <v>250</v>
      </c>
      <c r="J55" s="1" t="n">
        <f aca="false">(F55-G55)*I55</f>
        <v>0</v>
      </c>
      <c r="K55" s="1" t="n">
        <f aca="false">G55*I55</f>
        <v>115</v>
      </c>
      <c r="M55" s="23" t="n">
        <v>587</v>
      </c>
      <c r="N55" s="3" t="s">
        <v>4</v>
      </c>
      <c r="O55" s="23" t="n">
        <v>587</v>
      </c>
      <c r="P55" s="0" t="s">
        <v>29</v>
      </c>
      <c r="R55" s="10" t="n">
        <f aca="false">(O55-L55)/G55</f>
        <v>1276.08695652174</v>
      </c>
    </row>
    <row r="56" customFormat="false" ht="16.4" hidden="false" customHeight="false" outlineLevel="0" collapsed="false">
      <c r="A56" s="1" t="n">
        <v>6107</v>
      </c>
      <c r="B56" s="0" t="s">
        <v>145</v>
      </c>
      <c r="C56" s="0" t="s">
        <v>189</v>
      </c>
      <c r="D56" s="1" t="s">
        <v>53</v>
      </c>
      <c r="E56" s="0" t="s">
        <v>146</v>
      </c>
      <c r="F56" s="1" t="n">
        <v>2.11</v>
      </c>
      <c r="G56" s="1" t="n">
        <v>2.11</v>
      </c>
      <c r="H56" s="1" t="n">
        <f aca="false">-((G56*100/F56)-100)</f>
        <v>-0</v>
      </c>
      <c r="I56" s="33" t="n">
        <v>582</v>
      </c>
      <c r="J56" s="1" t="n">
        <f aca="false">(F56-G56)*I56</f>
        <v>0</v>
      </c>
      <c r="K56" s="1" t="n">
        <f aca="false">G56*I56</f>
        <v>1228.02</v>
      </c>
      <c r="M56" s="23" t="n">
        <v>3540</v>
      </c>
      <c r="N56" s="3" t="s">
        <v>4</v>
      </c>
      <c r="O56" s="23" t="n">
        <v>3540</v>
      </c>
      <c r="P56" s="0" t="s">
        <v>26</v>
      </c>
      <c r="R56" s="10" t="n">
        <f aca="false">(O56-L56)/G56</f>
        <v>1677.72511848341</v>
      </c>
    </row>
    <row r="57" customFormat="false" ht="16.4" hidden="false" customHeight="false" outlineLevel="0" collapsed="false">
      <c r="A57" s="1" t="n">
        <v>6107</v>
      </c>
      <c r="B57" s="0" t="s">
        <v>145</v>
      </c>
      <c r="C57" s="0" t="s">
        <v>190</v>
      </c>
      <c r="D57" s="1" t="s">
        <v>53</v>
      </c>
      <c r="E57" s="0" t="s">
        <v>146</v>
      </c>
      <c r="F57" s="1" t="n">
        <v>1.36</v>
      </c>
      <c r="G57" s="1" t="n">
        <v>1.36</v>
      </c>
      <c r="H57" s="1" t="n">
        <f aca="false">-((G57*100/F57)-100)</f>
        <v>-0</v>
      </c>
      <c r="I57" s="33" t="n">
        <v>582</v>
      </c>
      <c r="J57" s="1" t="n">
        <f aca="false">(F57-G57)*I57</f>
        <v>0</v>
      </c>
      <c r="K57" s="1" t="n">
        <f aca="false">G57*I57</f>
        <v>791.52</v>
      </c>
      <c r="M57" s="23" t="n">
        <v>2228</v>
      </c>
      <c r="N57" s="3" t="s">
        <v>4</v>
      </c>
      <c r="O57" s="23" t="n">
        <v>2228</v>
      </c>
      <c r="P57" s="0" t="s">
        <v>26</v>
      </c>
      <c r="R57" s="10" t="n">
        <f aca="false">(O57-L57)/G57</f>
        <v>1638.23529411765</v>
      </c>
    </row>
    <row r="58" customFormat="false" ht="16.4" hidden="false" customHeight="false" outlineLevel="0" collapsed="false">
      <c r="A58" s="1" t="n">
        <v>6107</v>
      </c>
      <c r="B58" s="0" t="s">
        <v>145</v>
      </c>
      <c r="C58" s="0" t="s">
        <v>144</v>
      </c>
      <c r="D58" s="1" t="s">
        <v>53</v>
      </c>
      <c r="E58" s="0" t="s">
        <v>146</v>
      </c>
      <c r="F58" s="1" t="n">
        <v>0.88</v>
      </c>
      <c r="G58" s="1" t="n">
        <v>0.88</v>
      </c>
      <c r="H58" s="1" t="n">
        <f aca="false">-((G58*100/F58)-100)</f>
        <v>-0</v>
      </c>
      <c r="I58" s="33" t="n">
        <v>582</v>
      </c>
      <c r="J58" s="1" t="n">
        <f aca="false">(F58-G58)*I58</f>
        <v>0</v>
      </c>
      <c r="K58" s="1" t="n">
        <f aca="false">G58*I58</f>
        <v>512.16</v>
      </c>
      <c r="M58" s="23" t="n">
        <v>1519</v>
      </c>
      <c r="N58" s="3" t="s">
        <v>4</v>
      </c>
      <c r="O58" s="23" t="n">
        <v>1519</v>
      </c>
      <c r="P58" s="0" t="s">
        <v>26</v>
      </c>
      <c r="R58" s="10" t="n">
        <f aca="false">(O58-L58)/G58</f>
        <v>1726.13636363636</v>
      </c>
    </row>
    <row r="59" customFormat="false" ht="16.4" hidden="false" customHeight="false" outlineLevel="0" collapsed="false">
      <c r="A59" s="1" t="n">
        <v>6107</v>
      </c>
      <c r="B59" s="0" t="s">
        <v>145</v>
      </c>
      <c r="C59" s="0" t="s">
        <v>57</v>
      </c>
      <c r="D59" s="1" t="s">
        <v>53</v>
      </c>
      <c r="E59" s="0" t="s">
        <v>146</v>
      </c>
      <c r="F59" s="1" t="n">
        <v>0.79</v>
      </c>
      <c r="G59" s="1" t="n">
        <v>0.79</v>
      </c>
      <c r="H59" s="1" t="n">
        <f aca="false">-((G59*100/F59)-100)</f>
        <v>-0</v>
      </c>
      <c r="I59" s="33" t="n">
        <v>582</v>
      </c>
      <c r="J59" s="1" t="n">
        <f aca="false">(F59-G59)*I59</f>
        <v>0</v>
      </c>
      <c r="K59" s="1" t="n">
        <f aca="false">G59*I59</f>
        <v>459.78</v>
      </c>
      <c r="M59" s="23" t="n">
        <v>1293</v>
      </c>
      <c r="N59" s="3" t="s">
        <v>4</v>
      </c>
      <c r="O59" s="23" t="n">
        <v>1293</v>
      </c>
      <c r="P59" s="0" t="s">
        <v>26</v>
      </c>
      <c r="R59" s="10" t="n">
        <f aca="false">(O59-L59)/G59</f>
        <v>1636.70886075949</v>
      </c>
    </row>
    <row r="60" customFormat="false" ht="16.4" hidden="false" customHeight="false" outlineLevel="0" collapsed="false">
      <c r="A60" s="1" t="n">
        <v>6107</v>
      </c>
      <c r="B60" s="0" t="s">
        <v>145</v>
      </c>
      <c r="C60" s="0" t="s">
        <v>191</v>
      </c>
      <c r="D60" s="1" t="s">
        <v>53</v>
      </c>
      <c r="E60" s="0" t="s">
        <v>146</v>
      </c>
      <c r="F60" s="1" t="n">
        <v>0.67</v>
      </c>
      <c r="G60" s="1" t="n">
        <v>0.67</v>
      </c>
      <c r="H60" s="1" t="n">
        <f aca="false">-((G60*100/F60)-100)</f>
        <v>-0</v>
      </c>
      <c r="I60" s="33" t="n">
        <v>582</v>
      </c>
      <c r="J60" s="1" t="n">
        <f aca="false">(F60-G60)*I60</f>
        <v>0</v>
      </c>
      <c r="K60" s="1" t="n">
        <f aca="false">G60*I60</f>
        <v>389.94</v>
      </c>
      <c r="M60" s="23" t="n">
        <v>1156</v>
      </c>
      <c r="N60" s="3" t="s">
        <v>4</v>
      </c>
      <c r="O60" s="23" t="n">
        <v>1156</v>
      </c>
      <c r="P60" s="0" t="s">
        <v>29</v>
      </c>
      <c r="R60" s="10" t="n">
        <f aca="false">(O60-L60)/G60</f>
        <v>1725.37313432836</v>
      </c>
    </row>
    <row r="61" customFormat="false" ht="16.4" hidden="false" customHeight="false" outlineLevel="0" collapsed="false">
      <c r="A61" s="1" t="n">
        <v>6107</v>
      </c>
      <c r="B61" s="0" t="s">
        <v>145</v>
      </c>
      <c r="C61" s="0" t="s">
        <v>142</v>
      </c>
      <c r="D61" s="1" t="s">
        <v>37</v>
      </c>
      <c r="E61" s="0" t="s">
        <v>38</v>
      </c>
      <c r="F61" s="1" t="n">
        <v>0.89</v>
      </c>
      <c r="G61" s="1" t="n">
        <v>0.89</v>
      </c>
      <c r="H61" s="1" t="n">
        <f aca="false">-((G61*100/F61)-100)</f>
        <v>-0</v>
      </c>
      <c r="I61" s="33" t="n">
        <v>450</v>
      </c>
      <c r="J61" s="1" t="n">
        <f aca="false">(F61-G61)*I61</f>
        <v>0</v>
      </c>
      <c r="K61" s="1" t="n">
        <f aca="false">G61*I61</f>
        <v>400.5</v>
      </c>
      <c r="M61" s="23" t="n">
        <v>1267</v>
      </c>
      <c r="N61" s="3" t="s">
        <v>4</v>
      </c>
      <c r="O61" s="23" t="n">
        <v>1267</v>
      </c>
      <c r="P61" s="0" t="s">
        <v>26</v>
      </c>
      <c r="R61" s="10" t="n">
        <f aca="false">(O61-L61)/G61</f>
        <v>1423.59550561798</v>
      </c>
    </row>
    <row r="62" customFormat="false" ht="16.4" hidden="false" customHeight="false" outlineLevel="0" collapsed="false">
      <c r="A62" s="1" t="n">
        <v>6107</v>
      </c>
      <c r="B62" s="0" t="s">
        <v>145</v>
      </c>
      <c r="C62" s="0" t="s">
        <v>167</v>
      </c>
      <c r="D62" s="1" t="s">
        <v>37</v>
      </c>
      <c r="E62" s="0" t="s">
        <v>38</v>
      </c>
      <c r="F62" s="1" t="n">
        <v>0.38</v>
      </c>
      <c r="G62" s="1" t="n">
        <v>0.38</v>
      </c>
      <c r="H62" s="1" t="n">
        <f aca="false">-((G62*100/F62)-100)</f>
        <v>-0</v>
      </c>
      <c r="I62" s="33" t="n">
        <v>450</v>
      </c>
      <c r="J62" s="1" t="n">
        <f aca="false">(F62-G62)*I62</f>
        <v>0</v>
      </c>
      <c r="K62" s="1" t="n">
        <f aca="false">G62*I62</f>
        <v>171</v>
      </c>
      <c r="M62" s="23" t="n">
        <v>540</v>
      </c>
      <c r="N62" s="3" t="s">
        <v>4</v>
      </c>
      <c r="O62" s="23" t="n">
        <v>540</v>
      </c>
      <c r="P62" s="0" t="s">
        <v>26</v>
      </c>
      <c r="R62" s="10" t="n">
        <f aca="false">(O62-L62)/G62</f>
        <v>1421.05263157895</v>
      </c>
    </row>
    <row r="63" customFormat="false" ht="16.4" hidden="false" customHeight="false" outlineLevel="0" collapsed="false">
      <c r="A63" s="1" t="n">
        <v>6107</v>
      </c>
      <c r="B63" s="0" t="s">
        <v>145</v>
      </c>
      <c r="C63" s="0" t="s">
        <v>51</v>
      </c>
      <c r="D63" s="1" t="s">
        <v>53</v>
      </c>
      <c r="E63" s="0" t="s">
        <v>146</v>
      </c>
      <c r="F63" s="1" t="n">
        <v>1.19</v>
      </c>
      <c r="G63" s="1" t="n">
        <v>1.19</v>
      </c>
      <c r="H63" s="1" t="n">
        <f aca="false">-((G63*100/F63)-100)</f>
        <v>-0</v>
      </c>
      <c r="I63" s="33" t="n">
        <v>582</v>
      </c>
      <c r="J63" s="1" t="n">
        <f aca="false">(F63-G63)*I63</f>
        <v>0</v>
      </c>
      <c r="K63" s="1" t="n">
        <f aca="false">G63*I63</f>
        <v>692.58</v>
      </c>
      <c r="M63" s="23" t="n">
        <v>2099</v>
      </c>
      <c r="N63" s="3" t="s">
        <v>4</v>
      </c>
      <c r="O63" s="23" t="n">
        <v>2099</v>
      </c>
      <c r="P63" s="0" t="s">
        <v>29</v>
      </c>
      <c r="R63" s="10" t="n">
        <f aca="false">(O63-L63)/G63</f>
        <v>1763.86554621849</v>
      </c>
    </row>
    <row r="64" customFormat="false" ht="16.4" hidden="false" customHeight="false" outlineLevel="0" collapsed="false">
      <c r="A64" s="1" t="n">
        <v>6107</v>
      </c>
      <c r="B64" s="0" t="s">
        <v>145</v>
      </c>
      <c r="C64" s="0" t="s">
        <v>59</v>
      </c>
      <c r="D64" s="1" t="s">
        <v>53</v>
      </c>
      <c r="E64" s="0" t="s">
        <v>146</v>
      </c>
      <c r="F64" s="1" t="n">
        <v>2.53</v>
      </c>
      <c r="G64" s="1" t="n">
        <v>2.53</v>
      </c>
      <c r="H64" s="1" t="n">
        <f aca="false">-((G64*100/F64)-100)</f>
        <v>-0</v>
      </c>
      <c r="I64" s="33" t="n">
        <v>582</v>
      </c>
      <c r="J64" s="1" t="n">
        <f aca="false">(F64-G64)*I64</f>
        <v>0</v>
      </c>
      <c r="K64" s="1" t="n">
        <f aca="false">G64*I64</f>
        <v>1472.46</v>
      </c>
      <c r="M64" s="23" t="n">
        <v>4361</v>
      </c>
      <c r="N64" s="3" t="s">
        <v>4</v>
      </c>
      <c r="O64" s="23" t="n">
        <v>4361</v>
      </c>
      <c r="P64" s="0" t="s">
        <v>29</v>
      </c>
      <c r="R64" s="10" t="n">
        <f aca="false">(O64-L64)/G64</f>
        <v>1723.71541501976</v>
      </c>
    </row>
    <row r="65" customFormat="false" ht="16.4" hidden="false" customHeight="false" outlineLevel="0" collapsed="false">
      <c r="F65" s="1"/>
      <c r="G65" s="1"/>
      <c r="K65" s="1" t="n">
        <f aca="false">G65*I65</f>
        <v>0</v>
      </c>
      <c r="M65" s="23"/>
      <c r="N65" s="3" t="s">
        <v>4</v>
      </c>
    </row>
    <row r="66" customFormat="false" ht="16.4" hidden="false" customHeight="false" outlineLevel="0" collapsed="false">
      <c r="A66" s="1" t="n">
        <v>6132</v>
      </c>
      <c r="B66" s="0" t="s">
        <v>192</v>
      </c>
      <c r="C66" s="0" t="s">
        <v>193</v>
      </c>
      <c r="D66" s="1" t="s">
        <v>24</v>
      </c>
      <c r="E66" s="0" t="s">
        <v>83</v>
      </c>
      <c r="F66" s="1" t="n">
        <v>0.59</v>
      </c>
      <c r="G66" s="1" t="n">
        <v>0.59</v>
      </c>
      <c r="H66" s="1" t="n">
        <f aca="false">-((G66*100/F66)-100)</f>
        <v>-0</v>
      </c>
      <c r="I66" s="33" t="n">
        <v>229</v>
      </c>
      <c r="J66" s="1" t="n">
        <f aca="false">(F66-G66)*I66</f>
        <v>0</v>
      </c>
      <c r="K66" s="1" t="n">
        <f aca="false">G66*I66</f>
        <v>135.11</v>
      </c>
      <c r="M66" s="23" t="n">
        <v>774</v>
      </c>
      <c r="N66" s="3" t="s">
        <v>4</v>
      </c>
      <c r="O66" s="23" t="n">
        <v>774</v>
      </c>
      <c r="P66" s="0" t="s">
        <v>26</v>
      </c>
      <c r="R66" s="10" t="n">
        <f aca="false">(O66-L66)/G66</f>
        <v>1311.86440677966</v>
      </c>
    </row>
    <row r="67" customFormat="false" ht="16.4" hidden="false" customHeight="false" outlineLevel="0" collapsed="false">
      <c r="A67" s="1" t="n">
        <v>6132</v>
      </c>
      <c r="B67" s="0" t="s">
        <v>192</v>
      </c>
      <c r="C67" s="0" t="s">
        <v>194</v>
      </c>
      <c r="D67" s="1" t="s">
        <v>24</v>
      </c>
      <c r="E67" s="0" t="s">
        <v>83</v>
      </c>
      <c r="F67" s="1" t="n">
        <v>0.82</v>
      </c>
      <c r="G67" s="1" t="n">
        <v>0.82</v>
      </c>
      <c r="H67" s="1" t="n">
        <f aca="false">-((G67*100/F67)-100)</f>
        <v>-0</v>
      </c>
      <c r="I67" s="33" t="n">
        <v>229</v>
      </c>
      <c r="J67" s="1" t="n">
        <f aca="false">(F67-G67)*I67</f>
        <v>0</v>
      </c>
      <c r="K67" s="1" t="n">
        <f aca="false">G67*I67</f>
        <v>187.78</v>
      </c>
      <c r="M67" s="23" t="n">
        <v>1076</v>
      </c>
      <c r="N67" s="3" t="s">
        <v>4</v>
      </c>
      <c r="O67" s="23" t="n">
        <v>1076</v>
      </c>
      <c r="P67" s="0" t="s">
        <v>26</v>
      </c>
      <c r="R67" s="10" t="n">
        <f aca="false">(O67-L67)/G67</f>
        <v>1312.19512195122</v>
      </c>
    </row>
    <row r="68" customFormat="false" ht="16.4" hidden="false" customHeight="false" outlineLevel="0" collapsed="false">
      <c r="A68" s="1" t="n">
        <v>6132</v>
      </c>
      <c r="B68" s="0" t="s">
        <v>192</v>
      </c>
      <c r="C68" s="0" t="s">
        <v>27</v>
      </c>
      <c r="D68" s="1" t="s">
        <v>24</v>
      </c>
      <c r="E68" s="0" t="s">
        <v>83</v>
      </c>
      <c r="F68" s="1" t="n">
        <v>1.91</v>
      </c>
      <c r="G68" s="1" t="n">
        <v>1.91</v>
      </c>
      <c r="H68" s="1" t="n">
        <f aca="false">-((G68*100/F68)-100)</f>
        <v>-0</v>
      </c>
      <c r="I68" s="33" t="n">
        <v>229</v>
      </c>
      <c r="J68" s="1" t="n">
        <f aca="false">(F68-G68)*I68</f>
        <v>0</v>
      </c>
      <c r="K68" s="1" t="n">
        <f aca="false">G68*I68</f>
        <v>437.39</v>
      </c>
      <c r="M68" s="23" t="n">
        <v>2461</v>
      </c>
      <c r="N68" s="3" t="s">
        <v>4</v>
      </c>
      <c r="O68" s="23" t="n">
        <v>2461</v>
      </c>
      <c r="P68" s="0" t="s">
        <v>26</v>
      </c>
      <c r="R68" s="10" t="n">
        <f aca="false">(O68-L68)/G68</f>
        <v>1288.48167539267</v>
      </c>
    </row>
    <row r="69" customFormat="false" ht="16.4" hidden="false" customHeight="false" outlineLevel="0" collapsed="false">
      <c r="F69" s="1"/>
      <c r="G69" s="1"/>
      <c r="K69" s="1" t="n">
        <f aca="false">G69*I69</f>
        <v>0</v>
      </c>
      <c r="M69" s="23"/>
      <c r="N69" s="3" t="s">
        <v>4</v>
      </c>
      <c r="R69" s="10"/>
    </row>
    <row r="70" customFormat="false" ht="16.4" hidden="false" customHeight="false" outlineLevel="0" collapsed="false">
      <c r="A70" s="1" t="n">
        <v>6107</v>
      </c>
      <c r="B70" s="0" t="s">
        <v>145</v>
      </c>
      <c r="C70" s="0" t="s">
        <v>55</v>
      </c>
      <c r="D70" s="1" t="s">
        <v>37</v>
      </c>
      <c r="E70" s="0" t="s">
        <v>38</v>
      </c>
      <c r="F70" s="1" t="n">
        <v>10.48</v>
      </c>
      <c r="G70" s="1" t="n">
        <v>10.43</v>
      </c>
      <c r="H70" s="1" t="n">
        <f aca="false">-((G70*100/F70)-100)</f>
        <v>0.477099236641223</v>
      </c>
      <c r="I70" s="33" t="n">
        <v>450</v>
      </c>
      <c r="J70" s="1" t="n">
        <f aca="false">(F70-G70)*I70</f>
        <v>22.5000000000003</v>
      </c>
      <c r="K70" s="1" t="n">
        <f aca="false">G70*I70</f>
        <v>4693.5</v>
      </c>
      <c r="M70" s="23" t="n">
        <v>18518</v>
      </c>
      <c r="N70" s="3" t="s">
        <v>4</v>
      </c>
      <c r="O70" s="23" t="n">
        <v>18518</v>
      </c>
      <c r="P70" s="0" t="s">
        <v>26</v>
      </c>
      <c r="R70" s="10" t="n">
        <f aca="false">(O70-L70)/G70</f>
        <v>1775.45541706616</v>
      </c>
    </row>
    <row r="71" customFormat="false" ht="15" hidden="false" customHeight="false" outlineLevel="0" collapsed="false">
      <c r="F71" s="1"/>
      <c r="G71" s="1"/>
      <c r="K71" s="1"/>
      <c r="M71" s="23"/>
    </row>
    <row r="72" s="36" customFormat="true" ht="15" hidden="false" customHeight="false" outlineLevel="0" collapsed="false">
      <c r="F72" s="37" t="n">
        <f aca="false">SUM(F4:F71)</f>
        <v>100.34</v>
      </c>
      <c r="G72" s="37" t="n">
        <f aca="false">SUM(G4:G71)</f>
        <v>100.06</v>
      </c>
      <c r="J72" s="36" t="n">
        <f aca="false">SUM(J4:J71)</f>
        <v>48.7200000000003</v>
      </c>
      <c r="K72" s="37" t="n">
        <f aca="false">SUM(K4:K71)</f>
        <v>36823.5</v>
      </c>
      <c r="M72" s="38" t="n">
        <f aca="false">SUM(M4:M71)</f>
        <v>144097</v>
      </c>
    </row>
    <row r="73" customFormat="false" ht="15" hidden="false" customHeight="false" outlineLevel="0" collapsed="false">
      <c r="F73" s="1"/>
      <c r="G73" s="1"/>
      <c r="K73" s="1"/>
      <c r="M73" s="23"/>
    </row>
    <row r="74" s="40" customFormat="true" ht="16.4" hidden="false" customHeight="false" outlineLevel="0" collapsed="false">
      <c r="A74" s="39" t="n">
        <v>6077</v>
      </c>
      <c r="B74" s="40" t="s">
        <v>69</v>
      </c>
      <c r="C74" s="40" t="s">
        <v>70</v>
      </c>
      <c r="D74" s="39" t="s">
        <v>24</v>
      </c>
      <c r="E74" s="40" t="s">
        <v>135</v>
      </c>
      <c r="F74" s="39" t="n">
        <v>2.1</v>
      </c>
      <c r="G74" s="39" t="n">
        <v>2.1</v>
      </c>
      <c r="H74" s="39" t="n">
        <f aca="false">-((G74*100/F74)-100)</f>
        <v>-0</v>
      </c>
      <c r="I74" s="41" t="n">
        <v>250</v>
      </c>
      <c r="J74" s="39" t="n">
        <f aca="false">(F74-G74)*I74</f>
        <v>0</v>
      </c>
      <c r="K74" s="39" t="n">
        <f aca="false">G74*I74</f>
        <v>525</v>
      </c>
      <c r="L74" s="42" t="s">
        <v>195</v>
      </c>
      <c r="M74" s="43" t="n">
        <v>1319</v>
      </c>
      <c r="N74" s="44" t="s">
        <v>4</v>
      </c>
      <c r="O74" s="43" t="n">
        <v>1319</v>
      </c>
      <c r="P74" s="40" t="s">
        <v>29</v>
      </c>
      <c r="R74" s="43" t="e">
        <f aca="false">(O74-L74)/G74</f>
        <v>#VALUE!</v>
      </c>
      <c r="S74" s="45" t="s">
        <v>196</v>
      </c>
      <c r="T74" s="45"/>
    </row>
    <row r="75" customFormat="false" ht="15" hidden="false" customHeight="false" outlineLevel="0" collapsed="false">
      <c r="A75" s="1"/>
      <c r="D75" s="1"/>
      <c r="F75" s="1"/>
      <c r="G75" s="1"/>
      <c r="H75" s="1"/>
      <c r="I75" s="1"/>
      <c r="J75" s="1"/>
      <c r="K75" s="1"/>
      <c r="M75" s="23"/>
      <c r="N75" s="3"/>
      <c r="O75" s="23"/>
      <c r="R75" s="10"/>
    </row>
    <row r="78" customFormat="false" ht="15" hidden="false" customHeight="false" outlineLevel="0" collapsed="false">
      <c r="F78" s="1"/>
      <c r="G78" s="1"/>
      <c r="M78" s="23"/>
    </row>
    <row r="79" customFormat="false" ht="15" hidden="false" customHeight="false" outlineLevel="0" collapsed="false">
      <c r="A79" s="1"/>
      <c r="D79" s="1"/>
      <c r="F79" s="1"/>
      <c r="G79" s="1"/>
      <c r="H79" s="1"/>
      <c r="I79" s="1"/>
      <c r="J79" s="1"/>
      <c r="K79" s="1"/>
      <c r="M79" s="23"/>
      <c r="N79" s="3"/>
      <c r="O79" s="23"/>
      <c r="R79" s="10"/>
    </row>
    <row r="80" customFormat="false" ht="15" hidden="false" customHeight="false" outlineLevel="0" collapsed="false">
      <c r="F80" s="1"/>
      <c r="G80" s="1"/>
      <c r="M80" s="23"/>
    </row>
    <row r="81" customFormat="false" ht="15" hidden="false" customHeight="false" outlineLevel="0" collapsed="false">
      <c r="A81" s="1"/>
      <c r="D81" s="1"/>
      <c r="F81" s="1"/>
      <c r="G81" s="1"/>
      <c r="H81" s="1"/>
      <c r="I81" s="1"/>
      <c r="J81" s="1"/>
      <c r="K81" s="1"/>
      <c r="M81" s="23"/>
      <c r="N81" s="3"/>
      <c r="O81" s="23"/>
      <c r="P81" s="1"/>
      <c r="R81" s="10"/>
    </row>
    <row r="82" customFormat="false" ht="15" hidden="false" customHeight="false" outlineLevel="0" collapsed="false">
      <c r="A82" s="1"/>
      <c r="D82" s="1"/>
      <c r="F82" s="1"/>
      <c r="G82" s="1"/>
      <c r="H82" s="1"/>
      <c r="I82" s="1"/>
      <c r="J82" s="1"/>
      <c r="K82" s="1"/>
      <c r="M82" s="23"/>
      <c r="N82" s="3"/>
      <c r="O82" s="23"/>
      <c r="R82" s="10"/>
    </row>
    <row r="83" customFormat="false" ht="15" hidden="false" customHeight="false" outlineLevel="0" collapsed="false">
      <c r="F83" s="1"/>
      <c r="G83" s="1"/>
    </row>
    <row r="84" customFormat="false" ht="15" hidden="false" customHeight="false" outlineLevel="0" collapsed="false">
      <c r="A84" s="1"/>
      <c r="D84" s="1"/>
      <c r="F84" s="1"/>
      <c r="H84" s="1"/>
      <c r="J84" s="1"/>
      <c r="K84" s="1"/>
      <c r="M84" s="23"/>
      <c r="N84" s="3"/>
      <c r="O84" s="23"/>
      <c r="R84" s="10"/>
    </row>
    <row r="85" customFormat="false" ht="15" hidden="false" customHeight="false" outlineLevel="0" collapsed="false">
      <c r="A85" s="1"/>
      <c r="D85" s="1"/>
      <c r="F85" s="1"/>
      <c r="H85" s="1"/>
      <c r="J85" s="1"/>
      <c r="K85" s="1"/>
      <c r="M85" s="23"/>
      <c r="N85" s="3"/>
      <c r="O85" s="23"/>
      <c r="R85" s="10"/>
    </row>
    <row r="86" customFormat="false" ht="15" hidden="false" customHeight="false" outlineLevel="0" collapsed="false">
      <c r="A86" s="1"/>
      <c r="F86" s="1"/>
      <c r="H86" s="1"/>
      <c r="J86" s="1"/>
      <c r="K86" s="1"/>
      <c r="M86" s="23"/>
      <c r="N86" s="3"/>
      <c r="O86" s="23"/>
      <c r="R86" s="10"/>
    </row>
    <row r="87" customFormat="false" ht="15" hidden="false" customHeight="false" outlineLevel="0" collapsed="false">
      <c r="A87" s="1"/>
      <c r="F87" s="1"/>
      <c r="H87" s="1"/>
      <c r="J87" s="1"/>
      <c r="K87" s="1"/>
      <c r="M87" s="23"/>
      <c r="N87" s="3"/>
      <c r="O87" s="23"/>
      <c r="R87" s="10"/>
    </row>
    <row r="88" customFormat="false" ht="15" hidden="false" customHeight="false" outlineLevel="0" collapsed="false">
      <c r="A88" s="1"/>
      <c r="F88" s="1"/>
      <c r="H88" s="1"/>
      <c r="J88" s="1"/>
      <c r="K88" s="1"/>
      <c r="M88" s="23"/>
      <c r="N88" s="3"/>
      <c r="O88" s="23"/>
      <c r="R88" s="10"/>
    </row>
    <row r="89" customFormat="false" ht="15" hidden="false" customHeight="false" outlineLevel="0" collapsed="false">
      <c r="A89" s="1"/>
      <c r="F89" s="1"/>
      <c r="H89" s="1"/>
      <c r="J89" s="1"/>
      <c r="K89" s="1"/>
      <c r="M89" s="23"/>
      <c r="N89" s="3"/>
      <c r="O89" s="23"/>
      <c r="R89" s="10"/>
    </row>
    <row r="90" customFormat="false" ht="15" hidden="false" customHeight="false" outlineLevel="0" collapsed="false">
      <c r="F90" s="1"/>
      <c r="G90" s="1"/>
    </row>
    <row r="91" customFormat="false" ht="15" hidden="false" customHeight="false" outlineLevel="0" collapsed="false">
      <c r="F91" s="1"/>
      <c r="G91" s="1"/>
    </row>
    <row r="92" customFormat="false" ht="15" hidden="false" customHeight="false" outlineLevel="0" collapsed="false">
      <c r="F92" s="1"/>
      <c r="G92" s="1"/>
    </row>
    <row r="93" customFormat="false" ht="15" hidden="false" customHeight="false" outlineLevel="0" collapsed="false">
      <c r="A93" s="1"/>
      <c r="D93" s="1"/>
      <c r="F93" s="1"/>
      <c r="G93" s="1"/>
      <c r="H93" s="1"/>
      <c r="I93" s="1"/>
      <c r="J93" s="1"/>
      <c r="K93" s="1"/>
      <c r="L93" s="10"/>
      <c r="M93" s="32"/>
      <c r="N93" s="3"/>
      <c r="O93" s="32"/>
      <c r="R93" s="10"/>
    </row>
    <row r="94" customFormat="false" ht="15" hidden="false" customHeight="false" outlineLevel="0" collapsed="false">
      <c r="F94" s="1"/>
      <c r="G94" s="1"/>
      <c r="I94" s="1"/>
      <c r="M94" s="23"/>
      <c r="O94" s="23"/>
    </row>
    <row r="95" customFormat="false" ht="15" hidden="false" customHeight="false" outlineLevel="0" collapsed="false">
      <c r="A95" s="1"/>
      <c r="D95" s="1"/>
      <c r="F95" s="1"/>
      <c r="G95" s="1"/>
      <c r="H95" s="1"/>
      <c r="I95" s="1"/>
      <c r="J95" s="1"/>
      <c r="K95" s="1"/>
      <c r="L95" s="10"/>
      <c r="M95" s="32"/>
      <c r="N95" s="3"/>
      <c r="O95" s="35"/>
      <c r="R95" s="10"/>
    </row>
    <row r="96" customFormat="false" ht="15" hidden="false" customHeight="false" outlineLevel="0" collapsed="false">
      <c r="A96" s="1"/>
      <c r="D96" s="1"/>
      <c r="F96" s="1"/>
      <c r="G96" s="1"/>
      <c r="H96" s="1"/>
      <c r="I96" s="1"/>
      <c r="J96" s="1"/>
      <c r="K96" s="1"/>
      <c r="L96" s="10"/>
      <c r="M96" s="32"/>
      <c r="N96" s="3"/>
      <c r="O96" s="35"/>
      <c r="R96" s="10"/>
    </row>
    <row r="97" customFormat="false" ht="15" hidden="false" customHeight="false" outlineLevel="0" collapsed="false">
      <c r="F97" s="1"/>
      <c r="G97" s="1"/>
      <c r="I97" s="1"/>
      <c r="M97" s="23"/>
      <c r="O97" s="23"/>
    </row>
    <row r="98" customFormat="false" ht="15" hidden="false" customHeight="false" outlineLevel="0" collapsed="false">
      <c r="A98" s="1"/>
      <c r="D98" s="1"/>
      <c r="F98" s="1"/>
      <c r="G98" s="1"/>
      <c r="H98" s="1"/>
      <c r="I98" s="1"/>
      <c r="J98" s="1"/>
      <c r="K98" s="1"/>
      <c r="M98" s="23"/>
      <c r="N98" s="3"/>
      <c r="O98" s="23"/>
      <c r="R98" s="10"/>
    </row>
    <row r="99" customFormat="false" ht="15" hidden="false" customHeight="false" outlineLevel="0" collapsed="false">
      <c r="A99" s="1"/>
      <c r="D99" s="1"/>
      <c r="F99" s="1"/>
      <c r="G99" s="1"/>
      <c r="H99" s="1"/>
      <c r="I99" s="1"/>
      <c r="J99" s="1"/>
      <c r="K99" s="1"/>
      <c r="M99" s="23"/>
      <c r="N99" s="3"/>
      <c r="O99" s="23"/>
      <c r="R99" s="10"/>
    </row>
    <row r="100" customFormat="false" ht="15" hidden="false" customHeight="false" outlineLevel="0" collapsed="false">
      <c r="A100" s="1"/>
      <c r="D100" s="1"/>
      <c r="F100" s="1"/>
      <c r="G100" s="1"/>
      <c r="H100" s="1"/>
      <c r="I100" s="1"/>
      <c r="J100" s="1"/>
      <c r="K100" s="1"/>
      <c r="M100" s="23"/>
      <c r="N100" s="3"/>
      <c r="O100" s="23"/>
      <c r="R100" s="10"/>
    </row>
    <row r="101" customFormat="false" ht="15" hidden="false" customHeight="false" outlineLevel="0" collapsed="false">
      <c r="A101" s="1"/>
      <c r="D101" s="1"/>
      <c r="F101" s="1"/>
      <c r="G101" s="1"/>
      <c r="H101" s="1"/>
      <c r="J101" s="1"/>
      <c r="K101" s="1"/>
      <c r="M101" s="23"/>
      <c r="N101" s="3"/>
      <c r="O101" s="23"/>
      <c r="R101" s="10"/>
    </row>
    <row r="102" customFormat="false" ht="15" hidden="false" customHeight="false" outlineLevel="0" collapsed="false">
      <c r="A102" s="1"/>
      <c r="D102" s="1"/>
      <c r="F102" s="1"/>
      <c r="G102" s="1"/>
      <c r="H102" s="1"/>
      <c r="I102" s="1"/>
      <c r="J102" s="1"/>
      <c r="K102" s="1"/>
      <c r="M102" s="23"/>
      <c r="N102" s="3"/>
      <c r="O102" s="23"/>
      <c r="R102" s="10"/>
    </row>
    <row r="103" customFormat="false" ht="15" hidden="false" customHeight="false" outlineLevel="0" collapsed="false">
      <c r="F103" s="1"/>
      <c r="G103" s="1"/>
    </row>
    <row r="104" customFormat="false" ht="15" hidden="false" customHeight="false" outlineLevel="0" collapsed="false">
      <c r="A104" s="1"/>
      <c r="D104" s="1"/>
      <c r="F104" s="1"/>
      <c r="G104" s="1"/>
      <c r="H104" s="1"/>
      <c r="I104" s="1"/>
      <c r="J104" s="1"/>
      <c r="K104" s="1"/>
      <c r="M104" s="23"/>
      <c r="N104" s="3"/>
      <c r="O104" s="23"/>
      <c r="R104" s="10"/>
    </row>
    <row r="105" customFormat="false" ht="15" hidden="false" customHeight="false" outlineLevel="0" collapsed="false">
      <c r="A105" s="1"/>
      <c r="D105" s="1"/>
      <c r="F105" s="1"/>
      <c r="G105" s="1"/>
      <c r="H105" s="1"/>
      <c r="I105" s="1"/>
      <c r="J105" s="1"/>
      <c r="K105" s="1"/>
      <c r="M105" s="23"/>
      <c r="N105" s="3"/>
      <c r="O105" s="23"/>
      <c r="R105" s="10"/>
    </row>
    <row r="106" customFormat="false" ht="15" hidden="false" customHeight="false" outlineLevel="0" collapsed="false">
      <c r="A106" s="1"/>
      <c r="D106" s="1"/>
      <c r="F106" s="1"/>
      <c r="G106" s="1"/>
      <c r="H106" s="1"/>
      <c r="I106" s="1"/>
      <c r="J106" s="1"/>
      <c r="K106" s="1"/>
      <c r="M106" s="23"/>
      <c r="N106" s="3"/>
      <c r="O106" s="23"/>
      <c r="R106" s="10"/>
    </row>
    <row r="107" customFormat="false" ht="15" hidden="false" customHeight="false" outlineLevel="0" collapsed="false">
      <c r="A107" s="1"/>
      <c r="D107" s="1"/>
      <c r="F107" s="1"/>
      <c r="G107" s="1"/>
      <c r="H107" s="1"/>
      <c r="I107" s="1"/>
      <c r="J107" s="1"/>
      <c r="K107" s="1"/>
      <c r="M107" s="23"/>
      <c r="N107" s="3"/>
      <c r="O107" s="23"/>
      <c r="R107" s="10"/>
    </row>
    <row r="108" customFormat="false" ht="15" hidden="false" customHeight="false" outlineLevel="0" collapsed="false">
      <c r="A108" s="1"/>
      <c r="D108" s="1"/>
      <c r="F108" s="1"/>
      <c r="G108" s="1"/>
      <c r="H108" s="1"/>
      <c r="I108" s="1"/>
      <c r="J108" s="1"/>
      <c r="K108" s="1"/>
      <c r="M108" s="23"/>
      <c r="N108" s="3"/>
      <c r="O108" s="23"/>
      <c r="R108" s="10"/>
    </row>
    <row r="109" customFormat="false" ht="15" hidden="false" customHeight="false" outlineLevel="0" collapsed="false">
      <c r="A109" s="1"/>
      <c r="D109" s="1"/>
      <c r="F109" s="1"/>
      <c r="G109" s="1"/>
      <c r="H109" s="1"/>
      <c r="I109" s="1"/>
      <c r="J109" s="1"/>
      <c r="K109" s="1"/>
      <c r="M109" s="23"/>
      <c r="N109" s="3"/>
      <c r="O109" s="23"/>
      <c r="R109" s="10"/>
    </row>
    <row r="110" customFormat="false" ht="15" hidden="false" customHeight="false" outlineLevel="0" collapsed="false">
      <c r="A110" s="1"/>
      <c r="D110" s="1"/>
      <c r="F110" s="1"/>
      <c r="G110" s="1"/>
      <c r="H110" s="1"/>
      <c r="J110" s="1"/>
      <c r="K110" s="1"/>
      <c r="M110" s="23"/>
      <c r="N110" s="3"/>
      <c r="O110" s="23"/>
      <c r="R110" s="10"/>
    </row>
    <row r="111" customFormat="false" ht="15" hidden="false" customHeight="false" outlineLevel="0" collapsed="false">
      <c r="A111" s="1"/>
      <c r="D111" s="1"/>
      <c r="F111" s="1"/>
      <c r="G111" s="1"/>
      <c r="H111" s="1"/>
      <c r="I111" s="1"/>
      <c r="J111" s="1"/>
      <c r="K111" s="1"/>
      <c r="M111" s="23"/>
      <c r="N111" s="3"/>
      <c r="O111" s="23"/>
      <c r="R111" s="10"/>
    </row>
    <row r="112" customFormat="false" ht="15" hidden="false" customHeight="false" outlineLevel="0" collapsed="false">
      <c r="A112" s="1"/>
      <c r="F112" s="1"/>
      <c r="G112" s="1"/>
      <c r="H112" s="1"/>
      <c r="J112" s="1"/>
      <c r="K112" s="1"/>
      <c r="M112" s="23"/>
      <c r="N112" s="3"/>
      <c r="O112" s="23"/>
      <c r="R112" s="10"/>
    </row>
    <row r="113" customFormat="false" ht="15" hidden="false" customHeight="false" outlineLevel="0" collapsed="false">
      <c r="A113" s="1"/>
      <c r="D113" s="1"/>
      <c r="F113" s="1"/>
      <c r="G113" s="1"/>
      <c r="H113" s="1"/>
      <c r="I113" s="1"/>
      <c r="J113" s="1"/>
      <c r="K113" s="1"/>
      <c r="M113" s="23"/>
      <c r="N113" s="3"/>
      <c r="O113" s="23"/>
      <c r="R113" s="10"/>
    </row>
    <row r="114" customFormat="false" ht="15" hidden="false" customHeight="false" outlineLevel="0" collapsed="false">
      <c r="F114" s="1"/>
      <c r="G114" s="1"/>
    </row>
    <row r="115" customFormat="false" ht="15" hidden="false" customHeight="false" outlineLevel="0" collapsed="false">
      <c r="A115" s="1"/>
      <c r="D115" s="1"/>
      <c r="F115" s="1"/>
      <c r="G115" s="1"/>
      <c r="H115" s="1"/>
      <c r="I115" s="1"/>
      <c r="J115" s="1"/>
      <c r="K115" s="1"/>
      <c r="M115" s="23"/>
      <c r="N115" s="3"/>
      <c r="O115" s="23"/>
      <c r="R115" s="10"/>
    </row>
    <row r="116" customFormat="false" ht="15" hidden="false" customHeight="false" outlineLevel="0" collapsed="false">
      <c r="A116" s="1"/>
      <c r="D116" s="1"/>
      <c r="F116" s="1"/>
      <c r="G116" s="1"/>
      <c r="H116" s="1"/>
      <c r="I116" s="1"/>
      <c r="J116" s="1"/>
      <c r="K116" s="1"/>
      <c r="M116" s="23"/>
      <c r="N116" s="3"/>
      <c r="O116" s="23"/>
      <c r="R116" s="10"/>
    </row>
    <row r="117" customFormat="false" ht="15" hidden="false" customHeight="false" outlineLevel="0" collapsed="false">
      <c r="A117" s="1"/>
      <c r="D117" s="1"/>
      <c r="F117" s="1"/>
      <c r="G117" s="1"/>
      <c r="H117" s="1"/>
      <c r="I117" s="1"/>
      <c r="J117" s="1"/>
      <c r="K117" s="1"/>
      <c r="M117" s="23"/>
      <c r="N117" s="3"/>
      <c r="O117" s="23"/>
      <c r="R117" s="10"/>
    </row>
    <row r="118" customFormat="false" ht="15" hidden="false" customHeight="false" outlineLevel="0" collapsed="false">
      <c r="A118" s="1"/>
      <c r="D118" s="1"/>
      <c r="F118" s="1"/>
      <c r="G118" s="1"/>
      <c r="H118" s="1"/>
      <c r="J118" s="1"/>
      <c r="K118" s="1"/>
      <c r="M118" s="23"/>
      <c r="N118" s="3"/>
      <c r="O118" s="23"/>
      <c r="R118" s="10"/>
    </row>
    <row r="119" customFormat="false" ht="15" hidden="false" customHeight="false" outlineLevel="0" collapsed="false">
      <c r="F119" s="1"/>
      <c r="G119" s="1"/>
    </row>
    <row r="120" customFormat="false" ht="15" hidden="false" customHeight="false" outlineLevel="0" collapsed="false">
      <c r="A120" s="1"/>
      <c r="D120" s="1"/>
      <c r="F120" s="1"/>
      <c r="G120" s="1"/>
      <c r="H120" s="1"/>
      <c r="I120" s="1"/>
      <c r="J120" s="1"/>
      <c r="K120" s="1"/>
      <c r="M120" s="23"/>
      <c r="N120" s="3"/>
      <c r="O120" s="23"/>
      <c r="P120" s="1"/>
      <c r="R120" s="10"/>
    </row>
    <row r="121" customFormat="false" ht="15" hidden="false" customHeight="false" outlineLevel="0" collapsed="false">
      <c r="A121" s="1"/>
      <c r="D121" s="1"/>
      <c r="F121" s="1"/>
      <c r="G121" s="1"/>
      <c r="H121" s="1"/>
      <c r="I121" s="1"/>
      <c r="J121" s="1"/>
      <c r="K121" s="1"/>
      <c r="M121" s="23"/>
      <c r="N121" s="3"/>
      <c r="O121" s="23"/>
      <c r="P121" s="1"/>
      <c r="R121" s="10"/>
    </row>
    <row r="122" customFormat="false" ht="15" hidden="false" customHeight="false" outlineLevel="0" collapsed="false">
      <c r="A122" s="1"/>
      <c r="D122" s="1"/>
      <c r="F122" s="1"/>
      <c r="G122" s="1"/>
      <c r="H122" s="1"/>
      <c r="I122" s="1"/>
      <c r="J122" s="1"/>
      <c r="K122" s="1"/>
      <c r="M122" s="23"/>
      <c r="N122" s="3"/>
      <c r="O122" s="23"/>
      <c r="P122" s="1"/>
      <c r="R122" s="10"/>
    </row>
    <row r="123" customFormat="false" ht="15" hidden="false" customHeight="false" outlineLevel="0" collapsed="false">
      <c r="A123" s="1"/>
      <c r="D123" s="1"/>
      <c r="F123" s="1"/>
      <c r="G123" s="1"/>
      <c r="H123" s="1"/>
      <c r="I123" s="1"/>
      <c r="J123" s="1"/>
      <c r="K123" s="1"/>
      <c r="M123" s="23"/>
      <c r="N123" s="3"/>
      <c r="O123" s="23"/>
      <c r="P123" s="1"/>
      <c r="R123" s="10"/>
    </row>
    <row r="124" customFormat="false" ht="15" hidden="false" customHeight="false" outlineLevel="0" collapsed="false">
      <c r="A124" s="1"/>
      <c r="D124" s="1"/>
      <c r="F124" s="1"/>
      <c r="G124" s="1"/>
      <c r="H124" s="1"/>
      <c r="I124" s="1"/>
      <c r="J124" s="1"/>
      <c r="K124" s="1"/>
      <c r="M124" s="23"/>
      <c r="N124" s="3"/>
      <c r="O124" s="23"/>
      <c r="P124" s="1"/>
      <c r="R124" s="10"/>
    </row>
    <row r="125" customFormat="false" ht="15" hidden="false" customHeight="false" outlineLevel="0" collapsed="false">
      <c r="A125" s="1"/>
      <c r="D125" s="1"/>
      <c r="F125" s="1"/>
      <c r="G125" s="1"/>
      <c r="H125" s="1"/>
      <c r="I125" s="1"/>
      <c r="J125" s="1"/>
      <c r="K125" s="1"/>
      <c r="M125" s="23"/>
      <c r="N125" s="3"/>
      <c r="O125" s="23"/>
      <c r="P125" s="1"/>
      <c r="R125" s="10"/>
    </row>
    <row r="126" customFormat="false" ht="15" hidden="false" customHeight="false" outlineLevel="0" collapsed="false">
      <c r="A126" s="1"/>
      <c r="D126" s="1"/>
      <c r="F126" s="1"/>
      <c r="G126" s="1"/>
      <c r="H126" s="1"/>
      <c r="I126" s="1"/>
      <c r="J126" s="1"/>
      <c r="K126" s="1"/>
      <c r="M126" s="23"/>
      <c r="N126" s="3"/>
      <c r="O126" s="23"/>
      <c r="P126" s="1"/>
      <c r="R126" s="10"/>
    </row>
    <row r="127" customFormat="false" ht="15" hidden="false" customHeight="false" outlineLevel="0" collapsed="false">
      <c r="A127" s="1"/>
      <c r="D127" s="1"/>
      <c r="F127" s="1"/>
      <c r="G127" s="1"/>
      <c r="H127" s="1"/>
      <c r="I127" s="1"/>
      <c r="J127" s="1"/>
      <c r="K127" s="1"/>
      <c r="M127" s="23"/>
      <c r="N127" s="3"/>
      <c r="O127" s="23"/>
      <c r="P127" s="1"/>
      <c r="R127" s="10"/>
    </row>
    <row r="128" customFormat="false" ht="15" hidden="false" customHeight="false" outlineLevel="0" collapsed="false">
      <c r="A128" s="1"/>
      <c r="D128" s="1"/>
      <c r="F128" s="1"/>
      <c r="G128" s="1"/>
      <c r="H128" s="1"/>
      <c r="I128" s="1"/>
      <c r="J128" s="1"/>
      <c r="K128" s="1"/>
      <c r="M128" s="23"/>
      <c r="N128" s="3"/>
      <c r="O128" s="23"/>
      <c r="P128" s="1"/>
      <c r="R128" s="10"/>
    </row>
    <row r="129" customFormat="false" ht="15" hidden="false" customHeight="false" outlineLevel="0" collapsed="false">
      <c r="A129" s="1"/>
      <c r="D129" s="1"/>
      <c r="F129" s="1"/>
      <c r="G129" s="1"/>
      <c r="H129" s="1"/>
      <c r="J129" s="1"/>
      <c r="K129" s="1"/>
      <c r="M129" s="23"/>
      <c r="N129" s="3"/>
      <c r="O129" s="23"/>
      <c r="R129" s="10"/>
    </row>
    <row r="130" customFormat="false" ht="15" hidden="false" customHeight="false" outlineLevel="0" collapsed="false">
      <c r="A130" s="1"/>
      <c r="D130" s="1"/>
      <c r="F130" s="1"/>
      <c r="G130" s="1"/>
      <c r="H130" s="1"/>
      <c r="J130" s="1"/>
      <c r="K130" s="1"/>
      <c r="M130" s="23"/>
      <c r="N130" s="3"/>
      <c r="O130" s="23"/>
      <c r="R130" s="10"/>
    </row>
    <row r="131" customFormat="false" ht="15" hidden="false" customHeight="false" outlineLevel="0" collapsed="false">
      <c r="A131" s="1"/>
      <c r="D131" s="1"/>
      <c r="F131" s="1"/>
      <c r="G131" s="1"/>
      <c r="H131" s="1"/>
      <c r="J131" s="1"/>
      <c r="K131" s="1"/>
      <c r="M131" s="23"/>
      <c r="N131" s="3"/>
      <c r="O131" s="23"/>
      <c r="R131" s="10"/>
    </row>
    <row r="132" customFormat="false" ht="15" hidden="false" customHeight="false" outlineLevel="0" collapsed="false">
      <c r="A132" s="1"/>
      <c r="D132" s="1"/>
      <c r="F132" s="1"/>
      <c r="G132" s="1"/>
      <c r="H132" s="1"/>
      <c r="J132" s="1"/>
      <c r="K132" s="1"/>
      <c r="M132" s="23"/>
      <c r="N132" s="3"/>
      <c r="O132" s="23"/>
      <c r="R132" s="10"/>
    </row>
    <row r="133" customFormat="false" ht="15" hidden="false" customHeight="false" outlineLevel="0" collapsed="false">
      <c r="A133" s="1"/>
      <c r="D133" s="1"/>
      <c r="F133" s="1"/>
      <c r="G133" s="1"/>
      <c r="H133" s="1"/>
      <c r="I133" s="1"/>
      <c r="J133" s="1"/>
      <c r="K133" s="1"/>
      <c r="M133" s="23"/>
      <c r="N133" s="3"/>
      <c r="O133" s="23"/>
      <c r="R133" s="10"/>
    </row>
    <row r="134" customFormat="false" ht="15" hidden="false" customHeight="false" outlineLevel="0" collapsed="false">
      <c r="A134" s="1"/>
      <c r="D134" s="1"/>
      <c r="F134" s="1"/>
      <c r="G134" s="1"/>
      <c r="H134" s="1"/>
      <c r="I134" s="1"/>
      <c r="J134" s="1"/>
      <c r="K134" s="1"/>
      <c r="M134" s="23"/>
      <c r="N134" s="3"/>
      <c r="O134" s="23"/>
      <c r="R134" s="10"/>
    </row>
    <row r="136" customFormat="false" ht="15" hidden="false" customHeight="false" outlineLevel="0" collapsed="false">
      <c r="A136" s="1"/>
      <c r="D136" s="1"/>
      <c r="F136" s="1"/>
      <c r="G136" s="1"/>
      <c r="H136" s="1"/>
      <c r="J136" s="1"/>
      <c r="K136" s="1"/>
      <c r="M136" s="23"/>
      <c r="N136" s="3"/>
      <c r="O136" s="23"/>
      <c r="R136" s="10"/>
    </row>
    <row r="137" customFormat="false" ht="15" hidden="false" customHeight="false" outlineLevel="0" collapsed="false">
      <c r="A137" s="1"/>
      <c r="D137" s="1"/>
      <c r="F137" s="1"/>
      <c r="G137" s="1"/>
      <c r="H137" s="1"/>
      <c r="I137" s="1"/>
      <c r="J137" s="1"/>
      <c r="K137" s="1"/>
      <c r="M137" s="23"/>
      <c r="N137" s="3"/>
      <c r="O137" s="23"/>
      <c r="R137" s="10"/>
    </row>
    <row r="139" customFormat="false" ht="15" hidden="false" customHeight="false" outlineLevel="0" collapsed="false">
      <c r="A139" s="1"/>
      <c r="F139" s="1"/>
      <c r="G139" s="1"/>
      <c r="H139" s="1"/>
      <c r="J139" s="1"/>
      <c r="K139" s="1"/>
      <c r="M139" s="23"/>
      <c r="N139" s="3"/>
      <c r="O139" s="23"/>
      <c r="R139" s="10"/>
    </row>
    <row r="140" customFormat="false" ht="15" hidden="false" customHeight="false" outlineLevel="0" collapsed="false">
      <c r="A140" s="1"/>
      <c r="F140" s="1"/>
      <c r="G140" s="1"/>
      <c r="H140" s="1"/>
      <c r="J140" s="1"/>
      <c r="K140" s="1"/>
      <c r="M140" s="23"/>
      <c r="N140" s="3"/>
      <c r="O140" s="23"/>
      <c r="R140" s="10"/>
    </row>
    <row r="141" customFormat="false" ht="15" hidden="false" customHeight="false" outlineLevel="0" collapsed="false">
      <c r="A141" s="1"/>
      <c r="F141" s="1"/>
      <c r="H141" s="1"/>
      <c r="J141" s="1"/>
      <c r="K141" s="1"/>
      <c r="M141" s="23"/>
      <c r="N141" s="3"/>
      <c r="O141" s="23"/>
      <c r="R141" s="10"/>
    </row>
    <row r="142" customFormat="false" ht="15" hidden="false" customHeight="false" outlineLevel="0" collapsed="false">
      <c r="A142" s="1"/>
      <c r="F142" s="1"/>
      <c r="H142" s="1"/>
      <c r="J142" s="1"/>
      <c r="K142" s="1"/>
      <c r="M142" s="23"/>
      <c r="N142" s="3"/>
      <c r="O142" s="23"/>
      <c r="R142" s="10"/>
    </row>
    <row r="143" customFormat="false" ht="15" hidden="false" customHeight="false" outlineLevel="0" collapsed="false">
      <c r="A143" s="1"/>
      <c r="F143" s="1"/>
      <c r="H143" s="1"/>
      <c r="J143" s="1"/>
      <c r="K143" s="1"/>
      <c r="M143" s="23"/>
      <c r="N143" s="3"/>
      <c r="O143" s="23"/>
      <c r="R143" s="10"/>
    </row>
    <row r="145" customFormat="false" ht="15" hidden="false" customHeight="false" outlineLevel="0" collapsed="false">
      <c r="A145" s="1"/>
      <c r="D145" s="1"/>
      <c r="F145" s="1"/>
      <c r="H145" s="1"/>
      <c r="I145" s="33"/>
      <c r="J145" s="1"/>
      <c r="K145" s="1"/>
      <c r="M145" s="23"/>
      <c r="N145" s="3"/>
      <c r="O145" s="23"/>
      <c r="R145" s="10"/>
    </row>
    <row r="146" customFormat="false" ht="15" hidden="false" customHeight="false" outlineLevel="0" collapsed="false">
      <c r="A146" s="1"/>
      <c r="D146" s="1"/>
      <c r="F146" s="1"/>
      <c r="H146" s="1"/>
      <c r="I146" s="33"/>
      <c r="J146" s="1"/>
      <c r="K146" s="1"/>
      <c r="M146" s="23"/>
      <c r="N146" s="3"/>
      <c r="O146" s="23"/>
      <c r="R146" s="10"/>
    </row>
    <row r="147" customFormat="false" ht="15" hidden="false" customHeight="false" outlineLevel="0" collapsed="false">
      <c r="A147" s="1"/>
      <c r="D147" s="1"/>
      <c r="F147" s="1"/>
      <c r="H147" s="1"/>
      <c r="J147" s="1"/>
      <c r="K147" s="1"/>
      <c r="M147" s="23"/>
      <c r="N147" s="3"/>
      <c r="O147" s="23"/>
      <c r="R147" s="10"/>
    </row>
    <row r="148" customFormat="false" ht="15" hidden="false" customHeight="false" outlineLevel="0" collapsed="false">
      <c r="A148" s="1"/>
      <c r="D148" s="1"/>
      <c r="F148" s="1"/>
      <c r="H148" s="1"/>
      <c r="I148" s="33"/>
      <c r="J148" s="1"/>
      <c r="K148" s="1"/>
      <c r="M148" s="23"/>
      <c r="N148" s="3"/>
      <c r="O148" s="23"/>
      <c r="R148" s="10"/>
    </row>
    <row r="149" customFormat="false" ht="15" hidden="false" customHeight="false" outlineLevel="0" collapsed="false">
      <c r="A149" s="1"/>
      <c r="D149" s="1"/>
      <c r="F149" s="1"/>
      <c r="H149" s="1"/>
      <c r="J149" s="1"/>
      <c r="K149" s="1"/>
      <c r="M149" s="23"/>
      <c r="N149" s="3"/>
      <c r="O149" s="23"/>
      <c r="R149" s="10"/>
    </row>
    <row r="150" customFormat="false" ht="15" hidden="false" customHeight="false" outlineLevel="0" collapsed="false">
      <c r="A150" s="1"/>
      <c r="D150" s="1"/>
      <c r="F150" s="1"/>
      <c r="H150" s="1"/>
      <c r="I150" s="33"/>
      <c r="J150" s="1"/>
      <c r="K150" s="1"/>
      <c r="M150" s="23"/>
      <c r="N150" s="3"/>
      <c r="O150" s="23"/>
      <c r="P150" s="1"/>
      <c r="R150" s="10"/>
    </row>
    <row r="151" customFormat="false" ht="15" hidden="false" customHeight="false" outlineLevel="0" collapsed="false">
      <c r="A151" s="1"/>
      <c r="D151" s="1"/>
      <c r="F151" s="1"/>
      <c r="H151" s="1"/>
      <c r="J151" s="1"/>
      <c r="K151" s="1"/>
      <c r="M151" s="23"/>
      <c r="N151" s="3"/>
      <c r="O151" s="23"/>
      <c r="R151" s="10"/>
    </row>
    <row r="152" customFormat="false" ht="15" hidden="false" customHeight="false" outlineLevel="0" collapsed="false">
      <c r="A152" s="1"/>
      <c r="D152" s="1"/>
      <c r="F152" s="1"/>
      <c r="H152" s="1"/>
      <c r="I152" s="33"/>
      <c r="J152" s="1"/>
      <c r="K152" s="1"/>
      <c r="M152" s="23"/>
      <c r="N152" s="3"/>
      <c r="O152" s="23"/>
      <c r="R152" s="10"/>
    </row>
    <row r="156" customFormat="false" ht="15" hidden="false" customHeight="false" outlineLevel="0" collapsed="false">
      <c r="A156" s="1"/>
      <c r="D156" s="1"/>
      <c r="F156" s="1"/>
      <c r="H156" s="1"/>
      <c r="I156" s="33"/>
      <c r="J156" s="1"/>
      <c r="K156" s="1"/>
      <c r="M156" s="23"/>
      <c r="N156" s="3"/>
      <c r="O156" s="23"/>
      <c r="R156" s="10"/>
    </row>
    <row r="157" customFormat="false" ht="15" hidden="false" customHeight="false" outlineLevel="0" collapsed="false">
      <c r="A157" s="1"/>
      <c r="D157" s="1"/>
      <c r="F157" s="1"/>
      <c r="H157" s="1"/>
      <c r="J157" s="1"/>
      <c r="K157" s="1"/>
      <c r="N157" s="3"/>
      <c r="R157" s="10"/>
    </row>
    <row r="158" customFormat="false" ht="15" hidden="false" customHeight="false" outlineLevel="0" collapsed="false">
      <c r="A158" s="1"/>
      <c r="D158" s="1"/>
      <c r="F158" s="1"/>
      <c r="H158" s="1"/>
      <c r="J158" s="1"/>
      <c r="K158" s="1"/>
      <c r="M158" s="23"/>
      <c r="N158" s="3"/>
      <c r="O158" s="23"/>
      <c r="R158" s="10"/>
    </row>
    <row r="159" customFormat="false" ht="15" hidden="false" customHeight="false" outlineLevel="0" collapsed="false">
      <c r="A159" s="1"/>
      <c r="D159" s="1"/>
      <c r="F159" s="1"/>
      <c r="H159" s="1"/>
      <c r="J159" s="1"/>
      <c r="K159" s="1"/>
      <c r="M159" s="23"/>
      <c r="N159" s="3"/>
      <c r="O159" s="23"/>
      <c r="R159" s="10"/>
    </row>
    <row r="160" customFormat="false" ht="15" hidden="false" customHeight="false" outlineLevel="0" collapsed="false">
      <c r="A160" s="1"/>
      <c r="D160" s="1"/>
      <c r="H160" s="1"/>
      <c r="J160" s="1"/>
      <c r="K160" s="1"/>
      <c r="M160" s="23"/>
      <c r="N160" s="3"/>
      <c r="O160" s="23"/>
      <c r="R160" s="10"/>
    </row>
    <row r="161" customFormat="false" ht="15" hidden="false" customHeight="false" outlineLevel="0" collapsed="false">
      <c r="A161" s="1"/>
      <c r="D161" s="1"/>
      <c r="F161" s="1"/>
      <c r="H161" s="1"/>
      <c r="J161" s="1"/>
      <c r="K161" s="1"/>
      <c r="M161" s="23"/>
      <c r="N161" s="3"/>
      <c r="O161" s="23"/>
      <c r="R161" s="10"/>
    </row>
    <row r="162" customFormat="false" ht="15" hidden="false" customHeight="false" outlineLevel="0" collapsed="false">
      <c r="A162" s="1"/>
      <c r="D162" s="1"/>
      <c r="H162" s="1"/>
      <c r="J162" s="1"/>
      <c r="K162" s="1"/>
      <c r="M162" s="23"/>
      <c r="N162" s="3"/>
      <c r="O162" s="23"/>
      <c r="R162" s="10"/>
    </row>
    <row r="163" customFormat="false" ht="15" hidden="false" customHeight="false" outlineLevel="0" collapsed="false">
      <c r="A163" s="1"/>
      <c r="D163" s="1"/>
      <c r="H163" s="1"/>
      <c r="J163" s="1"/>
      <c r="K163" s="1"/>
      <c r="M163" s="23"/>
      <c r="N163" s="3"/>
      <c r="O163" s="23"/>
      <c r="R163" s="10"/>
    </row>
    <row r="164" customFormat="false" ht="15" hidden="false" customHeight="false" outlineLevel="0" collapsed="false">
      <c r="A164" s="1"/>
      <c r="D164" s="1"/>
      <c r="H164" s="1"/>
      <c r="J164" s="1"/>
      <c r="K164" s="1"/>
      <c r="M164" s="23"/>
      <c r="N164" s="3"/>
      <c r="O164" s="23"/>
      <c r="R164" s="10"/>
    </row>
    <row r="165" customFormat="false" ht="15" hidden="false" customHeight="false" outlineLevel="0" collapsed="false">
      <c r="A165" s="1"/>
      <c r="D165" s="1"/>
      <c r="H165" s="1"/>
      <c r="J165" s="1"/>
      <c r="K165" s="1"/>
      <c r="M165" s="23"/>
      <c r="N165" s="3"/>
      <c r="O165" s="23"/>
      <c r="R165" s="10"/>
    </row>
    <row r="166" customFormat="false" ht="15" hidden="false" customHeight="false" outlineLevel="0" collapsed="false">
      <c r="A166" s="1"/>
      <c r="D166" s="1"/>
      <c r="H166" s="1"/>
      <c r="J166" s="1"/>
      <c r="K166" s="1"/>
      <c r="M166" s="22"/>
      <c r="N166" s="3"/>
      <c r="O166" s="23"/>
      <c r="R166" s="10"/>
    </row>
    <row r="167" customFormat="false" ht="15" hidden="false" customHeight="false" outlineLevel="0" collapsed="false">
      <c r="A167" s="1"/>
      <c r="D167" s="1"/>
      <c r="H167" s="1"/>
      <c r="J167" s="1"/>
      <c r="K167" s="1"/>
      <c r="M167" s="23"/>
      <c r="N167" s="3"/>
      <c r="O167" s="23"/>
      <c r="R167" s="10"/>
    </row>
    <row r="168" customFormat="false" ht="15" hidden="false" customHeight="false" outlineLevel="0" collapsed="false">
      <c r="A168" s="1"/>
      <c r="D168" s="1"/>
      <c r="H168" s="1"/>
      <c r="J168" s="1"/>
      <c r="K168" s="1"/>
      <c r="M168" s="23"/>
      <c r="N168" s="3"/>
      <c r="O168" s="23"/>
      <c r="R168" s="10"/>
    </row>
    <row r="169" customFormat="false" ht="15" hidden="false" customHeight="false" outlineLevel="0" collapsed="false">
      <c r="A169" s="1"/>
      <c r="D169" s="1"/>
      <c r="H169" s="1"/>
      <c r="J169" s="1"/>
      <c r="K169" s="1"/>
      <c r="M169" s="23"/>
      <c r="N169" s="3"/>
      <c r="O169" s="23"/>
      <c r="R169" s="10"/>
    </row>
    <row r="170" customFormat="false" ht="15" hidden="false" customHeight="false" outlineLevel="0" collapsed="false">
      <c r="A170" s="1"/>
      <c r="D170" s="1"/>
      <c r="H170" s="1"/>
      <c r="J170" s="1"/>
      <c r="K170" s="1"/>
      <c r="M170" s="23"/>
      <c r="N170" s="3"/>
      <c r="O170" s="23"/>
      <c r="R170" s="10"/>
    </row>
    <row r="171" customFormat="false" ht="15" hidden="false" customHeight="false" outlineLevel="0" collapsed="false">
      <c r="A171" s="1"/>
      <c r="D171" s="1"/>
      <c r="H171" s="1"/>
      <c r="J171" s="1"/>
      <c r="K171" s="1"/>
      <c r="M171" s="23"/>
      <c r="N171" s="3"/>
      <c r="O171" s="23"/>
      <c r="R171" s="10"/>
    </row>
    <row r="172" customFormat="false" ht="15" hidden="false" customHeight="false" outlineLevel="0" collapsed="false">
      <c r="A172" s="1"/>
      <c r="D172" s="1"/>
      <c r="H172" s="1"/>
      <c r="J172" s="1"/>
      <c r="K172" s="1"/>
      <c r="M172" s="23"/>
      <c r="N172" s="3"/>
      <c r="O172" s="23"/>
      <c r="R172" s="10"/>
    </row>
    <row r="173" customFormat="false" ht="15" hidden="false" customHeight="false" outlineLevel="0" collapsed="false">
      <c r="A173" s="1"/>
      <c r="D173" s="1"/>
      <c r="H173" s="1"/>
      <c r="J173" s="1"/>
      <c r="K173" s="1"/>
      <c r="M173" s="23"/>
      <c r="N173" s="3"/>
      <c r="O173" s="23"/>
      <c r="R173" s="10"/>
    </row>
    <row r="174" customFormat="false" ht="15" hidden="false" customHeight="false" outlineLevel="0" collapsed="false">
      <c r="A174" s="1"/>
      <c r="D174" s="1"/>
      <c r="H174" s="1"/>
      <c r="J174" s="1"/>
      <c r="K174" s="1"/>
      <c r="M174" s="23"/>
      <c r="N174" s="3"/>
      <c r="O174" s="23"/>
      <c r="R174" s="10"/>
    </row>
    <row r="175" customFormat="false" ht="15" hidden="false" customHeight="false" outlineLevel="0" collapsed="false">
      <c r="A175" s="1"/>
      <c r="D175" s="1"/>
      <c r="H175" s="1"/>
      <c r="J175" s="1"/>
      <c r="K175" s="1"/>
      <c r="M175" s="23"/>
      <c r="N175" s="3"/>
      <c r="O175" s="23"/>
      <c r="R175" s="10"/>
    </row>
    <row r="176" customFormat="false" ht="15" hidden="false" customHeight="false" outlineLevel="0" collapsed="false">
      <c r="H176" s="1"/>
      <c r="J176" s="1"/>
      <c r="K176" s="1"/>
      <c r="N176" s="3"/>
      <c r="R176" s="10"/>
    </row>
    <row r="177" customFormat="false" ht="15" hidden="false" customHeight="false" outlineLevel="0" collapsed="false">
      <c r="H177" s="1"/>
      <c r="J177" s="1"/>
      <c r="K177" s="1"/>
      <c r="N177" s="3"/>
      <c r="R177" s="10"/>
    </row>
    <row r="178" customFormat="false" ht="15" hidden="false" customHeight="false" outlineLevel="0" collapsed="false">
      <c r="H178" s="1"/>
      <c r="J178" s="1"/>
      <c r="K178" s="1"/>
      <c r="N178" s="3"/>
      <c r="R178" s="10"/>
    </row>
    <row r="179" customFormat="false" ht="15" hidden="false" customHeight="false" outlineLevel="0" collapsed="false">
      <c r="H179" s="1"/>
      <c r="J179" s="1"/>
      <c r="K179" s="1"/>
      <c r="N179" s="3"/>
      <c r="R179" s="10"/>
    </row>
    <row r="180" customFormat="false" ht="15" hidden="false" customHeight="false" outlineLevel="0" collapsed="false">
      <c r="H180" s="1"/>
      <c r="J180" s="1"/>
      <c r="K180" s="1"/>
      <c r="N180" s="3"/>
      <c r="R180" s="10"/>
    </row>
    <row r="181" customFormat="false" ht="15" hidden="false" customHeight="false" outlineLevel="0" collapsed="false">
      <c r="H181" s="1"/>
      <c r="J181" s="1"/>
      <c r="K181" s="1"/>
      <c r="N181" s="3"/>
      <c r="R181" s="10"/>
    </row>
    <row r="182" customFormat="false" ht="15" hidden="false" customHeight="false" outlineLevel="0" collapsed="false">
      <c r="H182" s="1"/>
      <c r="J182" s="1"/>
      <c r="K182" s="1"/>
      <c r="N182" s="3"/>
      <c r="R182" s="10"/>
    </row>
    <row r="183" customFormat="false" ht="15" hidden="false" customHeight="false" outlineLevel="0" collapsed="false">
      <c r="H183" s="1"/>
      <c r="J183" s="1"/>
      <c r="K183" s="1"/>
      <c r="N183" s="3"/>
      <c r="R183" s="10"/>
    </row>
    <row r="184" customFormat="false" ht="15" hidden="false" customHeight="false" outlineLevel="0" collapsed="false">
      <c r="H184" s="1"/>
      <c r="J184" s="1"/>
      <c r="K184" s="1"/>
      <c r="N184" s="3"/>
      <c r="R184" s="10"/>
    </row>
    <row r="185" customFormat="false" ht="15" hidden="false" customHeight="false" outlineLevel="0" collapsed="false">
      <c r="H185" s="1"/>
      <c r="J185" s="1"/>
      <c r="K185" s="1"/>
      <c r="N185" s="3"/>
      <c r="R185" s="10"/>
    </row>
    <row r="186" customFormat="false" ht="15" hidden="false" customHeight="false" outlineLevel="0" collapsed="false">
      <c r="H186" s="1"/>
      <c r="J186" s="1"/>
      <c r="K186" s="1"/>
      <c r="N186" s="3"/>
      <c r="R186" s="10"/>
    </row>
    <row r="187" customFormat="false" ht="15" hidden="false" customHeight="false" outlineLevel="0" collapsed="false">
      <c r="H187" s="1"/>
      <c r="J187" s="1"/>
      <c r="K187" s="1"/>
      <c r="N187" s="3"/>
      <c r="R187" s="10"/>
    </row>
  </sheetData>
  <conditionalFormatting sqref="N95:N96">
    <cfRule type="containsText" priority="2" operator="containsText" aboveAverage="0" equalAverage="0" bottom="0" percent="0" rank="0" text="a montar" dxfId="308">
      <formula>NOT(ISERROR(SEARCH("a montar",N95)))</formula>
    </cfRule>
    <cfRule type="containsText" priority="3" operator="containsText" aboveAverage="0" equalAverage="0" bottom="0" percent="0" rank="0" text="a serrar" dxfId="309">
      <formula>NOT(ISERROR(SEARCH("a serrar",N95)))</formula>
    </cfRule>
    <cfRule type="containsText" priority="4" operator="containsText" aboveAverage="0" equalAverage="0" bottom="0" percent="0" rank="0" text="pronto" dxfId="310">
      <formula>NOT(ISERROR(SEARCH("pronto",N95)))</formula>
    </cfRule>
    <cfRule type="containsText" priority="5" operator="containsText" aboveAverage="0" equalAverage="0" bottom="0" percent="0" rank="0" text="empreita" dxfId="311">
      <formula>NOT(ISERROR(SEARCH("empreita",N95)))</formula>
    </cfRule>
    <cfRule type="containsText" priority="6" operator="containsText" aboveAverage="0" equalAverage="0" bottom="0" percent="0" rank="0" text="previsto" dxfId="312">
      <formula>NOT(ISERROR(SEARCH("previsto",N95)))</formula>
    </cfRule>
    <cfRule type="containsText" priority="7" operator="containsText" aboveAverage="0" equalAverage="0" bottom="0" percent="0" rank="0" text="produzindo" dxfId="313">
      <formula>NOT(ISERROR(SEARCH("produzindo",N95)))</formula>
    </cfRule>
    <cfRule type="containsText" priority="8" operator="containsText" aboveAverage="0" equalAverage="0" bottom="0" percent="0" rank="0" text="material ok" dxfId="314">
      <formula>NOT(ISERROR(SEARCH("material ok",N95)))</formula>
    </cfRule>
  </conditionalFormatting>
  <conditionalFormatting sqref="N1:N70">
    <cfRule type="containsText" priority="9" operator="containsText" aboveAverage="0" equalAverage="0" bottom="0" percent="0" rank="0" text="a montar" dxfId="315">
      <formula>NOT(ISERROR(SEARCH("a montar",N1)))</formula>
    </cfRule>
    <cfRule type="containsText" priority="10" operator="containsText" aboveAverage="0" equalAverage="0" bottom="0" percent="0" rank="0" text="a serrar" dxfId="316">
      <formula>NOT(ISERROR(SEARCH("a serrar",N1)))</formula>
    </cfRule>
    <cfRule type="containsText" priority="11" operator="containsText" aboveAverage="0" equalAverage="0" bottom="0" percent="0" rank="0" text="pronto" dxfId="317">
      <formula>NOT(ISERROR(SEARCH("pronto",N1)))</formula>
    </cfRule>
    <cfRule type="containsText" priority="12" operator="containsText" aboveAverage="0" equalAverage="0" bottom="0" percent="0" rank="0" text="empreita" dxfId="318">
      <formula>NOT(ISERROR(SEARCH("empreita",N1)))</formula>
    </cfRule>
    <cfRule type="containsText" priority="13" operator="containsText" aboveAverage="0" equalAverage="0" bottom="0" percent="0" rank="0" text="previsto" dxfId="319">
      <formula>NOT(ISERROR(SEARCH("previsto",N1)))</formula>
    </cfRule>
    <cfRule type="containsText" priority="14" operator="containsText" aboveAverage="0" equalAverage="0" bottom="0" percent="0" rank="0" text="produzindo" dxfId="320">
      <formula>NOT(ISERROR(SEARCH("produzindo",N1)))</formula>
    </cfRule>
    <cfRule type="containsText" priority="15" operator="containsText" aboveAverage="0" equalAverage="0" bottom="0" percent="0" rank="0" text="material ok" dxfId="321">
      <formula>NOT(ISERROR(SEARCH("material ok",N1)))</formula>
    </cfRule>
  </conditionalFormatting>
  <conditionalFormatting sqref="N93">
    <cfRule type="containsText" priority="16" operator="containsText" aboveAverage="0" equalAverage="0" bottom="0" percent="0" rank="0" text="a montar" dxfId="322">
      <formula>NOT(ISERROR(SEARCH("a montar",N93)))</formula>
    </cfRule>
    <cfRule type="containsText" priority="17" operator="containsText" aboveAverage="0" equalAverage="0" bottom="0" percent="0" rank="0" text="a serrar" dxfId="323">
      <formula>NOT(ISERROR(SEARCH("a serrar",N93)))</formula>
    </cfRule>
    <cfRule type="containsText" priority="18" operator="containsText" aboveAverage="0" equalAverage="0" bottom="0" percent="0" rank="0" text="pronto" dxfId="324">
      <formula>NOT(ISERROR(SEARCH("pronto",N93)))</formula>
    </cfRule>
    <cfRule type="containsText" priority="19" operator="containsText" aboveAverage="0" equalAverage="0" bottom="0" percent="0" rank="0" text="empreita" dxfId="325">
      <formula>NOT(ISERROR(SEARCH("empreita",N93)))</formula>
    </cfRule>
    <cfRule type="containsText" priority="20" operator="containsText" aboveAverage="0" equalAverage="0" bottom="0" percent="0" rank="0" text="previsto" dxfId="326">
      <formula>NOT(ISERROR(SEARCH("previsto",N93)))</formula>
    </cfRule>
    <cfRule type="containsText" priority="21" operator="containsText" aboveAverage="0" equalAverage="0" bottom="0" percent="0" rank="0" text="produzindo" dxfId="327">
      <formula>NOT(ISERROR(SEARCH("produzindo",N93)))</formula>
    </cfRule>
    <cfRule type="containsText" priority="22" operator="containsText" aboveAverage="0" equalAverage="0" bottom="0" percent="0" rank="0" text="material ok" dxfId="328">
      <formula>NOT(ISERROR(SEARCH("material ok",N93)))</formula>
    </cfRule>
  </conditionalFormatting>
  <conditionalFormatting sqref="M1">
    <cfRule type="containsText" priority="23" operator="containsText" aboveAverage="0" equalAverage="0" bottom="0" percent="0" rank="0" text="a montar" dxfId="329">
      <formula>NOT(ISERROR(SEARCH("a montar",M1)))</formula>
    </cfRule>
    <cfRule type="containsText" priority="24" operator="containsText" aboveAverage="0" equalAverage="0" bottom="0" percent="0" rank="0" text="a serrar" dxfId="330">
      <formula>NOT(ISERROR(SEARCH("a serrar",M1)))</formula>
    </cfRule>
    <cfRule type="containsText" priority="25" operator="containsText" aboveAverage="0" equalAverage="0" bottom="0" percent="0" rank="0" text="pronto" dxfId="331">
      <formula>NOT(ISERROR(SEARCH("pronto",M1)))</formula>
    </cfRule>
    <cfRule type="containsText" priority="26" operator="containsText" aboveAverage="0" equalAverage="0" bottom="0" percent="0" rank="0" text="empreita" dxfId="332">
      <formula>NOT(ISERROR(SEARCH("empreita",M1)))</formula>
    </cfRule>
    <cfRule type="containsText" priority="27" operator="containsText" aboveAverage="0" equalAverage="0" bottom="0" percent="0" rank="0" text="previsto" dxfId="333">
      <formula>NOT(ISERROR(SEARCH("previsto",M1)))</formula>
    </cfRule>
    <cfRule type="containsText" priority="28" operator="containsText" aboveAverage="0" equalAverage="0" bottom="0" percent="0" rank="0" text="produzindo" dxfId="334">
      <formula>NOT(ISERROR(SEARCH("produzindo",M1)))</formula>
    </cfRule>
    <cfRule type="containsText" priority="29" operator="containsText" aboveAverage="0" equalAverage="0" bottom="0" percent="0" rank="0" text="material ok" dxfId="335">
      <formula>NOT(ISERROR(SEARCH("material ok",M1)))</formula>
    </cfRule>
  </conditionalFormatting>
  <conditionalFormatting sqref="J1">
    <cfRule type="containsText" priority="30" operator="containsText" aboveAverage="0" equalAverage="0" bottom="0" percent="0" rank="0" text="a montar" dxfId="336">
      <formula>NOT(ISERROR(SEARCH("a montar",J1)))</formula>
    </cfRule>
    <cfRule type="containsText" priority="31" operator="containsText" aboveAverage="0" equalAverage="0" bottom="0" percent="0" rank="0" text="a serrar" dxfId="337">
      <formula>NOT(ISERROR(SEARCH("a serrar",J1)))</formula>
    </cfRule>
    <cfRule type="containsText" priority="32" operator="containsText" aboveAverage="0" equalAverage="0" bottom="0" percent="0" rank="0" text="pronto" dxfId="338">
      <formula>NOT(ISERROR(SEARCH("pronto",J1)))</formula>
    </cfRule>
    <cfRule type="containsText" priority="33" operator="containsText" aboveAverage="0" equalAverage="0" bottom="0" percent="0" rank="0" text="empreita" dxfId="339">
      <formula>NOT(ISERROR(SEARCH("empreita",J1)))</formula>
    </cfRule>
    <cfRule type="containsText" priority="34" operator="containsText" aboveAverage="0" equalAverage="0" bottom="0" percent="0" rank="0" text="previsto" dxfId="340">
      <formula>NOT(ISERROR(SEARCH("previsto",J1)))</formula>
    </cfRule>
    <cfRule type="containsText" priority="35" operator="containsText" aboveAverage="0" equalAverage="0" bottom="0" percent="0" rank="0" text="produzindo" dxfId="341">
      <formula>NOT(ISERROR(SEARCH("produzindo",J1)))</formula>
    </cfRule>
    <cfRule type="containsText" priority="36" operator="containsText" aboveAverage="0" equalAverage="0" bottom="0" percent="0" rank="0" text="material ok" dxfId="342">
      <formula>NOT(ISERROR(SEARCH("material ok",J1)))</formula>
    </cfRule>
  </conditionalFormatting>
  <conditionalFormatting sqref="N74:N75 N79 N81:N82 N84:N89 N98:N102 N104:N113 N115:N118 N120:N134 N136:N137 N139:N143 N145:N152 N156:N187">
    <cfRule type="containsText" priority="37" operator="containsText" aboveAverage="0" equalAverage="0" bottom="0" percent="0" rank="0" text="a montar" dxfId="343">
      <formula>NOT(ISERROR(SEARCH("a montar",N74)))</formula>
    </cfRule>
    <cfRule type="containsText" priority="38" operator="containsText" aboveAverage="0" equalAverage="0" bottom="0" percent="0" rank="0" text="a serrar" dxfId="344">
      <formula>NOT(ISERROR(SEARCH("a serrar",N74)))</formula>
    </cfRule>
    <cfRule type="containsText" priority="39" operator="containsText" aboveAverage="0" equalAverage="0" bottom="0" percent="0" rank="0" text="pronto" dxfId="345">
      <formula>NOT(ISERROR(SEARCH("pronto",N74)))</formula>
    </cfRule>
    <cfRule type="containsText" priority="40" operator="containsText" aboveAverage="0" equalAverage="0" bottom="0" percent="0" rank="0" text="empreita" dxfId="346">
      <formula>NOT(ISERROR(SEARCH("empreita",N74)))</formula>
    </cfRule>
    <cfRule type="containsText" priority="41" operator="containsText" aboveAverage="0" equalAverage="0" bottom="0" percent="0" rank="0" text="previsto" dxfId="347">
      <formula>NOT(ISERROR(SEARCH("previsto",N74)))</formula>
    </cfRule>
    <cfRule type="containsText" priority="42" operator="containsText" aboveAverage="0" equalAverage="0" bottom="0" percent="0" rank="0" text="produzindo" dxfId="348">
      <formula>NOT(ISERROR(SEARCH("produzindo",N74)))</formula>
    </cfRule>
    <cfRule type="containsText" priority="43" operator="containsText" aboveAverage="0" equalAverage="0" bottom="0" percent="0" rank="0" text="material ok" dxfId="349">
      <formula>NOT(ISERROR(SEARCH("material ok",N74)))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0" activeCellId="0" sqref="B70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2" style="0" width="16.14"/>
    <col collapsed="false" customWidth="true" hidden="false" outlineLevel="0" max="3" min="3" style="0" width="19.43"/>
    <col collapsed="false" customWidth="true" hidden="false" outlineLevel="0" max="4" min="4" style="0" width="6.71"/>
    <col collapsed="false" customWidth="true" hidden="false" outlineLevel="0" max="5" min="5" style="0" width="15.57"/>
    <col collapsed="false" customWidth="true" hidden="false" outlineLevel="0" max="7" min="7" style="0" width="8.86"/>
    <col collapsed="false" customWidth="true" hidden="false" outlineLevel="0" max="11" min="11" style="0" width="12.29"/>
    <col collapsed="false" customWidth="true" hidden="false" outlineLevel="0" max="12" min="12" style="0" width="7"/>
    <col collapsed="false" customWidth="true" hidden="false" outlineLevel="0" max="13" min="13" style="0" width="12.86"/>
    <col collapsed="false" customWidth="true" hidden="false" outlineLevel="0" max="14" min="14" style="0" width="10.43"/>
    <col collapsed="false" customWidth="true" hidden="false" outlineLevel="0" max="15" min="15" style="0" width="13"/>
    <col collapsed="false" customWidth="true" hidden="false" outlineLevel="0" max="16" min="16" style="0" width="14.14"/>
    <col collapsed="false" customWidth="true" hidden="false" outlineLevel="0" max="18" min="18" style="0" width="12.57"/>
  </cols>
  <sheetData>
    <row r="1" customFormat="false" ht="16.4" hidden="false" customHeight="false" outlineLevel="0" collapsed="false">
      <c r="A1" s="1"/>
      <c r="C1" s="2"/>
      <c r="D1" s="1"/>
      <c r="F1" s="1"/>
      <c r="G1" s="1"/>
      <c r="H1" s="1"/>
      <c r="I1" s="1"/>
      <c r="J1" s="3" t="s">
        <v>0</v>
      </c>
      <c r="K1" s="4" t="s">
        <v>1</v>
      </c>
      <c r="L1" s="5" t="s">
        <v>2</v>
      </c>
      <c r="M1" s="6" t="s">
        <v>3</v>
      </c>
      <c r="N1" s="3" t="s">
        <v>4</v>
      </c>
      <c r="O1" s="7" t="s">
        <v>5</v>
      </c>
      <c r="P1" s="8" t="s">
        <v>6</v>
      </c>
      <c r="Q1" s="9" t="s">
        <v>3</v>
      </c>
      <c r="R1" s="10"/>
      <c r="S1" s="11"/>
    </row>
    <row r="2" customFormat="false" ht="15" hidden="false" customHeight="false" outlineLevel="0" collapsed="false">
      <c r="A2" s="1"/>
      <c r="C2" s="2"/>
      <c r="D2" s="1"/>
      <c r="F2" s="1"/>
      <c r="G2" s="1"/>
      <c r="H2" s="1"/>
      <c r="I2" s="1"/>
      <c r="J2" s="1"/>
      <c r="K2" s="12"/>
      <c r="L2" s="13"/>
      <c r="M2" s="14"/>
      <c r="N2" s="15"/>
      <c r="O2" s="10"/>
      <c r="P2" s="1"/>
      <c r="Q2" s="11"/>
      <c r="R2" s="10"/>
      <c r="S2" s="11"/>
    </row>
    <row r="3" customFormat="false" ht="16.4" hidden="false" customHeight="false" outlineLevel="0" collapsed="false">
      <c r="A3" s="16" t="s">
        <v>7</v>
      </c>
      <c r="B3" s="16" t="s">
        <v>8</v>
      </c>
      <c r="C3" s="16" t="s">
        <v>9</v>
      </c>
      <c r="D3" s="16"/>
      <c r="E3" s="16" t="s">
        <v>10</v>
      </c>
      <c r="F3" s="16" t="s">
        <v>11</v>
      </c>
      <c r="G3" s="16" t="s">
        <v>12</v>
      </c>
      <c r="H3" s="17" t="s">
        <v>13</v>
      </c>
      <c r="I3" s="16" t="s">
        <v>14</v>
      </c>
      <c r="J3" s="16" t="s">
        <v>15</v>
      </c>
      <c r="K3" s="16" t="s">
        <v>16</v>
      </c>
      <c r="L3" s="18" t="s">
        <v>17</v>
      </c>
      <c r="M3" s="18" t="s">
        <v>18</v>
      </c>
      <c r="N3" s="19" t="s">
        <v>19</v>
      </c>
      <c r="O3" s="18"/>
      <c r="P3" s="16" t="s">
        <v>20</v>
      </c>
      <c r="Q3" s="20"/>
      <c r="R3" s="21"/>
      <c r="S3" s="16" t="s">
        <v>21</v>
      </c>
    </row>
    <row r="4" customFormat="false" ht="16.4" hidden="false" customHeight="false" outlineLevel="0" collapsed="false">
      <c r="A4" s="1" t="n">
        <v>6107</v>
      </c>
      <c r="B4" s="0" t="s">
        <v>145</v>
      </c>
      <c r="C4" s="0" t="s">
        <v>197</v>
      </c>
      <c r="D4" s="1" t="s">
        <v>37</v>
      </c>
      <c r="E4" s="0" t="s">
        <v>38</v>
      </c>
      <c r="F4" s="1" t="n">
        <v>8.45</v>
      </c>
      <c r="G4" s="1" t="n">
        <v>8.45</v>
      </c>
      <c r="H4" s="1" t="n">
        <f aca="false">-((G4*100/F4)-100)</f>
        <v>-0</v>
      </c>
      <c r="I4" s="33" t="n">
        <v>450</v>
      </c>
      <c r="J4" s="1" t="n">
        <f aca="false">(F4-G4)*I4</f>
        <v>0</v>
      </c>
      <c r="K4" s="1" t="n">
        <f aca="false">G4*I4</f>
        <v>3802.5</v>
      </c>
      <c r="M4" s="23" t="n">
        <v>15500</v>
      </c>
      <c r="N4" s="3" t="s">
        <v>4</v>
      </c>
      <c r="O4" s="23" t="n">
        <v>15500</v>
      </c>
      <c r="P4" s="0" t="s">
        <v>29</v>
      </c>
      <c r="R4" s="10" t="n">
        <f aca="false">(O4-L4)/G4</f>
        <v>1834.31952662722</v>
      </c>
    </row>
    <row r="5" customFormat="false" ht="15" hidden="false" customHeight="false" outlineLevel="0" collapsed="false">
      <c r="A5" s="1"/>
      <c r="D5" s="1"/>
      <c r="F5" s="1"/>
      <c r="G5" s="1"/>
      <c r="H5" s="1"/>
      <c r="I5" s="1"/>
      <c r="J5" s="1"/>
      <c r="K5" s="1" t="n">
        <f aca="false">G5*I5</f>
        <v>0</v>
      </c>
      <c r="M5" s="23"/>
      <c r="N5" s="3"/>
      <c r="O5" s="23"/>
      <c r="R5" s="10"/>
    </row>
    <row r="6" customFormat="false" ht="16.4" hidden="false" customHeight="false" outlineLevel="0" collapsed="false">
      <c r="A6" s="1" t="n">
        <v>6137</v>
      </c>
      <c r="B6" s="0" t="s">
        <v>198</v>
      </c>
      <c r="C6" s="0" t="s">
        <v>199</v>
      </c>
      <c r="D6" s="1" t="s">
        <v>37</v>
      </c>
      <c r="E6" s="0" t="s">
        <v>38</v>
      </c>
      <c r="F6" s="1" t="n">
        <v>0.2</v>
      </c>
      <c r="G6" s="1" t="n">
        <v>0.2</v>
      </c>
      <c r="H6" s="1"/>
      <c r="I6" s="33" t="n">
        <v>450</v>
      </c>
      <c r="J6" s="1" t="n">
        <f aca="false">(F6-G6)*I6</f>
        <v>0</v>
      </c>
      <c r="K6" s="1" t="n">
        <f aca="false">G6*I6</f>
        <v>90</v>
      </c>
      <c r="M6" s="23" t="n">
        <v>346</v>
      </c>
      <c r="N6" s="3" t="s">
        <v>4</v>
      </c>
      <c r="O6" s="23" t="n">
        <v>346</v>
      </c>
      <c r="P6" s="0" t="s">
        <v>26</v>
      </c>
      <c r="R6" s="10" t="n">
        <f aca="false">(O6-L6)/G6</f>
        <v>1730</v>
      </c>
    </row>
    <row r="7" customFormat="false" ht="15" hidden="false" customHeight="false" outlineLevel="0" collapsed="false">
      <c r="A7" s="1"/>
      <c r="D7" s="1"/>
      <c r="F7" s="1"/>
      <c r="G7" s="1"/>
      <c r="H7" s="1"/>
      <c r="I7" s="1"/>
      <c r="J7" s="1"/>
      <c r="K7" s="1" t="n">
        <f aca="false">G7*I7</f>
        <v>0</v>
      </c>
      <c r="M7" s="23"/>
      <c r="N7" s="3"/>
      <c r="O7" s="23"/>
      <c r="R7" s="10"/>
    </row>
    <row r="8" customFormat="false" ht="16.4" hidden="false" customHeight="false" outlineLevel="0" collapsed="false">
      <c r="A8" s="1" t="n">
        <v>6130</v>
      </c>
      <c r="B8" s="0" t="s">
        <v>200</v>
      </c>
      <c r="C8" s="0" t="s">
        <v>55</v>
      </c>
      <c r="D8" s="1" t="s">
        <v>24</v>
      </c>
      <c r="E8" s="0" t="s">
        <v>201</v>
      </c>
      <c r="F8" s="1" t="n">
        <v>4.87</v>
      </c>
      <c r="G8" s="1" t="n">
        <v>4.87</v>
      </c>
      <c r="H8" s="1" t="n">
        <f aca="false">-((G8*100/F8)-100)</f>
        <v>-0</v>
      </c>
      <c r="I8" s="33" t="n">
        <v>155</v>
      </c>
      <c r="J8" s="1" t="n">
        <f aca="false">(F8-G8)*I8</f>
        <v>0</v>
      </c>
      <c r="K8" s="1" t="n">
        <f aca="false">G8*I8</f>
        <v>754.85</v>
      </c>
      <c r="M8" s="23" t="n">
        <v>4350</v>
      </c>
      <c r="N8" s="3" t="s">
        <v>4</v>
      </c>
      <c r="O8" s="23" t="n">
        <v>4350</v>
      </c>
      <c r="P8" s="0" t="s">
        <v>26</v>
      </c>
      <c r="R8" s="10" t="n">
        <f aca="false">(O8-L8)/G8</f>
        <v>893.223819301848</v>
      </c>
    </row>
    <row r="9" customFormat="false" ht="16.4" hidden="false" customHeight="false" outlineLevel="0" collapsed="false">
      <c r="A9" s="1" t="n">
        <v>6130</v>
      </c>
      <c r="B9" s="0" t="s">
        <v>200</v>
      </c>
      <c r="C9" s="0" t="s">
        <v>45</v>
      </c>
      <c r="D9" s="1"/>
      <c r="E9" s="0" t="s">
        <v>46</v>
      </c>
      <c r="F9" s="1" t="n">
        <v>0.97</v>
      </c>
      <c r="G9" s="1" t="n">
        <v>0</v>
      </c>
      <c r="H9" s="1" t="n">
        <f aca="false">-((G9*100/F9)-100)</f>
        <v>100</v>
      </c>
      <c r="I9" s="33" t="n">
        <v>0</v>
      </c>
      <c r="J9" s="1" t="n">
        <f aca="false">(F9-G9)*I9</f>
        <v>0</v>
      </c>
      <c r="K9" s="1" t="n">
        <f aca="false">G9*I9</f>
        <v>0</v>
      </c>
      <c r="M9" s="23" t="n">
        <v>430</v>
      </c>
      <c r="N9" s="3" t="s">
        <v>4</v>
      </c>
      <c r="O9" s="23" t="n">
        <v>430</v>
      </c>
      <c r="P9" s="0" t="s">
        <v>26</v>
      </c>
      <c r="R9" s="10" t="e">
        <f aca="false">(O9-L9)/G9</f>
        <v>#DIV/0!</v>
      </c>
    </row>
    <row r="10" customFormat="false" ht="16.4" hidden="false" customHeight="false" outlineLevel="0" collapsed="false">
      <c r="A10" s="1" t="n">
        <v>6130</v>
      </c>
      <c r="B10" s="0" t="s">
        <v>200</v>
      </c>
      <c r="C10" s="0" t="s">
        <v>202</v>
      </c>
      <c r="E10" s="0" t="s">
        <v>46</v>
      </c>
      <c r="F10" s="1" t="n">
        <v>0.87</v>
      </c>
      <c r="G10" s="1" t="n">
        <v>0</v>
      </c>
      <c r="H10" s="1" t="n">
        <f aca="false">-((G10*100/F10)-100)</f>
        <v>100</v>
      </c>
      <c r="I10" s="33" t="n">
        <v>0</v>
      </c>
      <c r="J10" s="1" t="n">
        <f aca="false">(F10-G10)*I10</f>
        <v>0</v>
      </c>
      <c r="K10" s="1" t="n">
        <f aca="false">G10*I10</f>
        <v>0</v>
      </c>
      <c r="M10" s="23" t="n">
        <v>487</v>
      </c>
      <c r="N10" s="3" t="s">
        <v>4</v>
      </c>
      <c r="O10" s="23" t="n">
        <v>487</v>
      </c>
      <c r="P10" s="0" t="s">
        <v>26</v>
      </c>
      <c r="R10" s="10" t="e">
        <f aca="false">(O10-L10)/G10</f>
        <v>#DIV/0!</v>
      </c>
    </row>
    <row r="11" customFormat="false" ht="15" hidden="false" customHeight="false" outlineLevel="0" collapsed="false">
      <c r="A11" s="1"/>
      <c r="F11" s="1"/>
      <c r="G11" s="1"/>
      <c r="H11" s="1"/>
      <c r="J11" s="1"/>
      <c r="K11" s="1" t="n">
        <f aca="false">G11*I11</f>
        <v>0</v>
      </c>
      <c r="M11" s="23"/>
      <c r="N11" s="26"/>
      <c r="O11" s="23"/>
      <c r="R11" s="10"/>
    </row>
    <row r="12" customFormat="false" ht="16.4" hidden="false" customHeight="false" outlineLevel="0" collapsed="false">
      <c r="A12" s="1" t="n">
        <v>6132</v>
      </c>
      <c r="B12" s="0" t="s">
        <v>192</v>
      </c>
      <c r="C12" s="0" t="s">
        <v>203</v>
      </c>
      <c r="D12" s="1" t="s">
        <v>53</v>
      </c>
      <c r="E12" s="0" t="s">
        <v>54</v>
      </c>
      <c r="F12" s="1" t="n">
        <v>1.41</v>
      </c>
      <c r="G12" s="1" t="n">
        <v>1.41</v>
      </c>
      <c r="H12" s="1" t="n">
        <f aca="false">-((G12*100/F12)-100)</f>
        <v>-0</v>
      </c>
      <c r="I12" s="33" t="n">
        <v>600</v>
      </c>
      <c r="J12" s="1" t="n">
        <f aca="false">(F12-G12)*I12</f>
        <v>0</v>
      </c>
      <c r="K12" s="1" t="n">
        <f aca="false">G12*I12</f>
        <v>846</v>
      </c>
      <c r="M12" s="23" t="n">
        <v>2842</v>
      </c>
      <c r="N12" s="3" t="s">
        <v>4</v>
      </c>
      <c r="O12" s="23" t="n">
        <v>2842</v>
      </c>
      <c r="P12" s="0" t="s">
        <v>29</v>
      </c>
      <c r="R12" s="10" t="n">
        <f aca="false">(O12-L12)/G12</f>
        <v>2015.60283687943</v>
      </c>
    </row>
    <row r="13" customFormat="false" ht="16.4" hidden="false" customHeight="false" outlineLevel="0" collapsed="false">
      <c r="A13" s="1" t="n">
        <v>6132</v>
      </c>
      <c r="B13" s="0" t="s">
        <v>192</v>
      </c>
      <c r="C13" s="0" t="s">
        <v>204</v>
      </c>
      <c r="D13" s="1" t="s">
        <v>53</v>
      </c>
      <c r="E13" s="0" t="s">
        <v>54</v>
      </c>
      <c r="F13" s="1" t="n">
        <v>2.34</v>
      </c>
      <c r="G13" s="1" t="n">
        <v>2.34</v>
      </c>
      <c r="H13" s="1" t="n">
        <f aca="false">-((G13*100/F13)-100)</f>
        <v>-0</v>
      </c>
      <c r="I13" s="33" t="n">
        <v>600</v>
      </c>
      <c r="J13" s="1" t="n">
        <f aca="false">(F13-G13)*I13</f>
        <v>0</v>
      </c>
      <c r="K13" s="1" t="n">
        <f aca="false">G13*I13</f>
        <v>1404</v>
      </c>
      <c r="M13" s="23" t="n">
        <v>4719</v>
      </c>
      <c r="N13" s="3" t="s">
        <v>4</v>
      </c>
      <c r="O13" s="23" t="n">
        <v>4719</v>
      </c>
      <c r="P13" s="0" t="s">
        <v>29</v>
      </c>
      <c r="R13" s="10" t="n">
        <f aca="false">(O13-L13)/G13</f>
        <v>2016.66666666667</v>
      </c>
    </row>
    <row r="14" customFormat="false" ht="15" hidden="false" customHeight="false" outlineLevel="0" collapsed="false">
      <c r="A14" s="1"/>
      <c r="D14" s="1"/>
      <c r="F14" s="1"/>
      <c r="G14" s="1"/>
      <c r="H14" s="1"/>
      <c r="I14" s="1"/>
      <c r="J14" s="1"/>
      <c r="K14" s="1" t="n">
        <f aca="false">G14*I14</f>
        <v>0</v>
      </c>
      <c r="M14" s="23"/>
      <c r="N14" s="1"/>
      <c r="O14" s="23"/>
      <c r="R14" s="10"/>
    </row>
    <row r="15" customFormat="false" ht="16.4" hidden="false" customHeight="false" outlineLevel="0" collapsed="false">
      <c r="A15" s="1" t="n">
        <v>6095</v>
      </c>
      <c r="B15" s="0" t="s">
        <v>119</v>
      </c>
      <c r="C15" s="0" t="s">
        <v>55</v>
      </c>
      <c r="D15" s="1" t="s">
        <v>53</v>
      </c>
      <c r="E15" s="0" t="s">
        <v>131</v>
      </c>
      <c r="F15" s="1" t="n">
        <v>23.71</v>
      </c>
      <c r="G15" s="1" t="n">
        <v>20.71</v>
      </c>
      <c r="H15" s="1" t="n">
        <f aca="false">-((G15*100/F15)-100)</f>
        <v>12.6528890763391</v>
      </c>
      <c r="I15" s="33" t="n">
        <v>641</v>
      </c>
      <c r="J15" s="1" t="n">
        <f aca="false">(F15-G15)*I15</f>
        <v>1923</v>
      </c>
      <c r="K15" s="1" t="n">
        <f aca="false">G15*I15</f>
        <v>13275.11</v>
      </c>
      <c r="M15" s="23" t="n">
        <v>50623</v>
      </c>
      <c r="N15" s="3" t="s">
        <v>4</v>
      </c>
      <c r="O15" s="23" t="n">
        <v>50623</v>
      </c>
      <c r="P15" s="0" t="s">
        <v>26</v>
      </c>
      <c r="R15" s="10" t="n">
        <f aca="false">(O15-L15)/G15</f>
        <v>2444.37469821342</v>
      </c>
    </row>
    <row r="16" customFormat="false" ht="15" hidden="false" customHeight="false" outlineLevel="0" collapsed="false">
      <c r="A16" s="1"/>
      <c r="D16" s="1"/>
      <c r="F16" s="1"/>
      <c r="G16" s="1"/>
      <c r="H16" s="1"/>
      <c r="I16" s="1"/>
      <c r="J16" s="1"/>
      <c r="K16" s="1" t="n">
        <f aca="false">G16*I16</f>
        <v>0</v>
      </c>
      <c r="M16" s="23"/>
      <c r="N16" s="1"/>
      <c r="O16" s="23"/>
      <c r="R16" s="10"/>
    </row>
    <row r="17" customFormat="false" ht="16.4" hidden="false" customHeight="false" outlineLevel="0" collapsed="false">
      <c r="A17" s="1" t="n">
        <v>6135</v>
      </c>
      <c r="B17" s="0" t="s">
        <v>205</v>
      </c>
      <c r="C17" s="0" t="s">
        <v>130</v>
      </c>
      <c r="D17" s="1" t="s">
        <v>53</v>
      </c>
      <c r="E17" s="0" t="s">
        <v>68</v>
      </c>
      <c r="F17" s="1" t="n">
        <v>8.03</v>
      </c>
      <c r="G17" s="1" t="n">
        <v>8.03</v>
      </c>
      <c r="H17" s="1" t="n">
        <f aca="false">-((G17*100/F17)-100)</f>
        <v>-0</v>
      </c>
      <c r="I17" s="33" t="n">
        <v>582</v>
      </c>
      <c r="J17" s="1" t="n">
        <f aca="false">(F17-G17)*I17</f>
        <v>0</v>
      </c>
      <c r="K17" s="1" t="n">
        <f aca="false">G17*I17</f>
        <v>4673.46</v>
      </c>
      <c r="M17" s="22" t="n">
        <v>13881</v>
      </c>
      <c r="N17" s="3" t="s">
        <v>4</v>
      </c>
      <c r="O17" s="23" t="n">
        <v>13881</v>
      </c>
      <c r="P17" s="0" t="s">
        <v>29</v>
      </c>
      <c r="R17" s="10" t="n">
        <f aca="false">(O17-L17)/G17</f>
        <v>1728.64259028643</v>
      </c>
    </row>
    <row r="18" customFormat="false" ht="16.4" hidden="false" customHeight="false" outlineLevel="0" collapsed="false">
      <c r="A18" s="1" t="n">
        <v>6135</v>
      </c>
      <c r="B18" s="0" t="s">
        <v>205</v>
      </c>
      <c r="C18" s="0" t="s">
        <v>70</v>
      </c>
      <c r="D18" s="1" t="s">
        <v>53</v>
      </c>
      <c r="E18" s="0" t="s">
        <v>68</v>
      </c>
      <c r="F18" s="1" t="n">
        <v>1.61</v>
      </c>
      <c r="G18" s="1" t="n">
        <v>1.61</v>
      </c>
      <c r="H18" s="1" t="n">
        <f aca="false">-((G18*100/F18)-100)</f>
        <v>-0</v>
      </c>
      <c r="I18" s="33" t="n">
        <v>582</v>
      </c>
      <c r="J18" s="1" t="n">
        <f aca="false">(F18-G18)*I18</f>
        <v>0</v>
      </c>
      <c r="K18" s="1" t="n">
        <f aca="false">G18*I18</f>
        <v>937.02</v>
      </c>
      <c r="M18" s="23" t="n">
        <v>2782</v>
      </c>
      <c r="N18" s="3" t="s">
        <v>4</v>
      </c>
      <c r="O18" s="23" t="n">
        <v>2782</v>
      </c>
      <c r="P18" s="0" t="s">
        <v>29</v>
      </c>
      <c r="R18" s="10" t="n">
        <f aca="false">(O18-L18)/G18</f>
        <v>1727.95031055901</v>
      </c>
    </row>
    <row r="19" customFormat="false" ht="16.4" hidden="false" customHeight="false" outlineLevel="0" collapsed="false">
      <c r="A19" s="1" t="n">
        <v>6135</v>
      </c>
      <c r="B19" s="0" t="s">
        <v>205</v>
      </c>
      <c r="C19" s="0" t="s">
        <v>58</v>
      </c>
      <c r="D19" s="1" t="s">
        <v>37</v>
      </c>
      <c r="E19" s="0" t="s">
        <v>38</v>
      </c>
      <c r="F19" s="1" t="n">
        <v>0.97</v>
      </c>
      <c r="G19" s="1" t="n">
        <v>0.97</v>
      </c>
      <c r="H19" s="1" t="n">
        <f aca="false">-((G19*100/F19)-100)</f>
        <v>-0</v>
      </c>
      <c r="I19" s="33" t="n">
        <v>450</v>
      </c>
      <c r="J19" s="1" t="n">
        <f aca="false">(F19-G19)*I19</f>
        <v>0</v>
      </c>
      <c r="K19" s="1" t="n">
        <f aca="false">G19*I19</f>
        <v>436.5</v>
      </c>
      <c r="M19" s="23" t="n">
        <v>1592</v>
      </c>
      <c r="N19" s="3" t="s">
        <v>4</v>
      </c>
      <c r="O19" s="23" t="n">
        <v>1592</v>
      </c>
      <c r="P19" s="0" t="s">
        <v>26</v>
      </c>
      <c r="R19" s="10" t="n">
        <f aca="false">(O19-L19)/G19</f>
        <v>1641.23711340206</v>
      </c>
    </row>
    <row r="20" customFormat="false" ht="16.4" hidden="false" customHeight="false" outlineLevel="0" collapsed="false">
      <c r="A20" s="1" t="n">
        <v>6135</v>
      </c>
      <c r="B20" s="0" t="s">
        <v>205</v>
      </c>
      <c r="C20" s="0" t="s">
        <v>206</v>
      </c>
      <c r="D20" s="1" t="s">
        <v>37</v>
      </c>
      <c r="E20" s="0" t="s">
        <v>38</v>
      </c>
      <c r="F20" s="1" t="n">
        <v>0.21</v>
      </c>
      <c r="G20" s="1" t="n">
        <v>0.21</v>
      </c>
      <c r="H20" s="1" t="n">
        <f aca="false">-((G20*100/F20)-100)</f>
        <v>-0</v>
      </c>
      <c r="I20" s="33" t="n">
        <v>450</v>
      </c>
      <c r="J20" s="1" t="n">
        <f aca="false">(F20-G20)*I20</f>
        <v>0</v>
      </c>
      <c r="K20" s="1" t="n">
        <f aca="false">G20*I20</f>
        <v>94.5</v>
      </c>
      <c r="M20" s="23" t="n">
        <v>341</v>
      </c>
      <c r="N20" s="3" t="s">
        <v>4</v>
      </c>
      <c r="O20" s="23" t="n">
        <v>341</v>
      </c>
      <c r="P20" s="0" t="s">
        <v>26</v>
      </c>
      <c r="R20" s="10" t="n">
        <f aca="false">(O20-L20)/G20</f>
        <v>1623.80952380952</v>
      </c>
    </row>
    <row r="21" customFormat="false" ht="16.4" hidden="false" customHeight="false" outlineLevel="0" collapsed="false">
      <c r="A21" s="1" t="n">
        <v>6135</v>
      </c>
      <c r="B21" s="0" t="s">
        <v>205</v>
      </c>
      <c r="C21" s="0" t="s">
        <v>56</v>
      </c>
      <c r="D21" s="1" t="s">
        <v>37</v>
      </c>
      <c r="E21" s="0" t="s">
        <v>38</v>
      </c>
      <c r="F21" s="1" t="n">
        <v>1.97</v>
      </c>
      <c r="G21" s="1" t="n">
        <v>1.97</v>
      </c>
      <c r="H21" s="1" t="n">
        <f aca="false">-((G21*100/F21)-100)</f>
        <v>-0</v>
      </c>
      <c r="I21" s="33" t="n">
        <v>450</v>
      </c>
      <c r="J21" s="1" t="n">
        <f aca="false">(F21-G21)*I21</f>
        <v>0</v>
      </c>
      <c r="K21" s="1" t="n">
        <f aca="false">G21*I21</f>
        <v>886.5</v>
      </c>
      <c r="M21" s="23" t="n">
        <v>3125</v>
      </c>
      <c r="N21" s="3" t="s">
        <v>4</v>
      </c>
      <c r="O21" s="23" t="n">
        <v>3125</v>
      </c>
      <c r="P21" s="0" t="s">
        <v>26</v>
      </c>
      <c r="R21" s="10" t="n">
        <f aca="false">(O21-L21)/G21</f>
        <v>1586.29441624366</v>
      </c>
    </row>
    <row r="22" customFormat="false" ht="16.4" hidden="false" customHeight="false" outlineLevel="0" collapsed="false">
      <c r="A22" s="1" t="n">
        <v>6135</v>
      </c>
      <c r="B22" s="0" t="s">
        <v>205</v>
      </c>
      <c r="C22" s="0" t="s">
        <v>206</v>
      </c>
      <c r="D22" s="1" t="s">
        <v>37</v>
      </c>
      <c r="E22" s="0" t="s">
        <v>38</v>
      </c>
      <c r="F22" s="1" t="n">
        <v>0.21</v>
      </c>
      <c r="G22" s="1" t="n">
        <v>0.21</v>
      </c>
      <c r="H22" s="1" t="n">
        <f aca="false">-((G22*100/F22)-100)</f>
        <v>-0</v>
      </c>
      <c r="I22" s="33" t="n">
        <v>450</v>
      </c>
      <c r="J22" s="1" t="n">
        <f aca="false">(F22-G22)*I22</f>
        <v>0</v>
      </c>
      <c r="K22" s="1" t="n">
        <f aca="false">G22*I22</f>
        <v>94.5</v>
      </c>
      <c r="M22" s="23" t="n">
        <v>324</v>
      </c>
      <c r="N22" s="3" t="s">
        <v>4</v>
      </c>
      <c r="O22" s="23" t="n">
        <v>324</v>
      </c>
      <c r="P22" s="0" t="s">
        <v>26</v>
      </c>
      <c r="R22" s="10" t="n">
        <f aca="false">(O22-L22)/G22</f>
        <v>1542.85714285714</v>
      </c>
    </row>
    <row r="23" customFormat="false" ht="16.4" hidden="false" customHeight="false" outlineLevel="0" collapsed="false">
      <c r="A23" s="1" t="n">
        <v>6135</v>
      </c>
      <c r="B23" s="0" t="s">
        <v>205</v>
      </c>
      <c r="C23" s="0" t="s">
        <v>207</v>
      </c>
      <c r="D23" s="1"/>
      <c r="F23" s="1"/>
      <c r="G23" s="1"/>
      <c r="H23" s="1"/>
      <c r="J23" s="1" t="n">
        <f aca="false">(F23-G23)*I23</f>
        <v>0</v>
      </c>
      <c r="K23" s="1" t="n">
        <f aca="false">G23*I23</f>
        <v>0</v>
      </c>
      <c r="L23" s="1" t="n">
        <v>259</v>
      </c>
      <c r="M23" s="23" t="n">
        <v>449</v>
      </c>
      <c r="N23" s="3" t="s">
        <v>4</v>
      </c>
      <c r="O23" s="23" t="n">
        <v>449</v>
      </c>
      <c r="P23" s="0" t="s">
        <v>29</v>
      </c>
      <c r="R23" s="10" t="e">
        <f aca="false">(O23-L23)/G23</f>
        <v>#DIV/0!</v>
      </c>
    </row>
    <row r="24" customFormat="false" ht="16.4" hidden="false" customHeight="false" outlineLevel="0" collapsed="false">
      <c r="A24" s="1" t="n">
        <v>6135</v>
      </c>
      <c r="B24" s="0" t="s">
        <v>205</v>
      </c>
      <c r="C24" s="0" t="s">
        <v>208</v>
      </c>
      <c r="D24" s="1"/>
      <c r="F24" s="1"/>
      <c r="G24" s="1"/>
      <c r="H24" s="1"/>
      <c r="J24" s="1" t="n">
        <f aca="false">(F24-G24)*I24</f>
        <v>0</v>
      </c>
      <c r="K24" s="1" t="n">
        <f aca="false">G24*I24</f>
        <v>0</v>
      </c>
      <c r="L24" s="1" t="n">
        <v>1399</v>
      </c>
      <c r="M24" s="23" t="n">
        <v>1859</v>
      </c>
      <c r="N24" s="3" t="s">
        <v>4</v>
      </c>
      <c r="O24" s="23" t="n">
        <v>1859</v>
      </c>
      <c r="P24" s="0" t="s">
        <v>29</v>
      </c>
      <c r="R24" s="10" t="e">
        <f aca="false">(O24-L24)/G24</f>
        <v>#DIV/0!</v>
      </c>
    </row>
    <row r="25" customFormat="false" ht="15" hidden="false" customHeight="false" outlineLevel="0" collapsed="false">
      <c r="A25" s="1"/>
      <c r="D25" s="1"/>
      <c r="F25" s="1"/>
      <c r="G25" s="1"/>
      <c r="H25" s="1"/>
      <c r="I25" s="1"/>
      <c r="J25" s="1"/>
      <c r="K25" s="1" t="n">
        <f aca="false">G25*I25</f>
        <v>0</v>
      </c>
      <c r="M25" s="23"/>
      <c r="N25" s="1"/>
      <c r="O25" s="23"/>
      <c r="R25" s="10"/>
    </row>
    <row r="26" customFormat="false" ht="16.4" hidden="false" customHeight="false" outlineLevel="0" collapsed="false">
      <c r="A26" s="1" t="n">
        <v>6120</v>
      </c>
      <c r="B26" s="0" t="s">
        <v>209</v>
      </c>
      <c r="C26" s="0" t="s">
        <v>210</v>
      </c>
      <c r="D26" s="1" t="s">
        <v>53</v>
      </c>
      <c r="E26" s="0" t="s">
        <v>54</v>
      </c>
      <c r="F26" s="1" t="n">
        <v>1.22</v>
      </c>
      <c r="G26" s="1" t="n">
        <v>1.22</v>
      </c>
      <c r="H26" s="1" t="n">
        <f aca="false">-((G26*100/F26)-100)</f>
        <v>-0</v>
      </c>
      <c r="I26" s="33" t="n">
        <v>824</v>
      </c>
      <c r="J26" s="1" t="n">
        <f aca="false">(F26-G26)*I26</f>
        <v>0</v>
      </c>
      <c r="K26" s="1" t="n">
        <f aca="false">G26*I26</f>
        <v>1005.28</v>
      </c>
      <c r="M26" s="23" t="n">
        <v>2407</v>
      </c>
      <c r="N26" s="3" t="s">
        <v>4</v>
      </c>
      <c r="O26" s="23" t="n">
        <v>2407</v>
      </c>
      <c r="P26" s="2" t="s">
        <v>29</v>
      </c>
      <c r="R26" s="10" t="n">
        <f aca="false">(O26-L26)/G26</f>
        <v>1972.95081967213</v>
      </c>
    </row>
    <row r="27" customFormat="false" ht="16.4" hidden="false" customHeight="false" outlineLevel="0" collapsed="false">
      <c r="A27" s="1" t="n">
        <v>6120</v>
      </c>
      <c r="B27" s="0" t="s">
        <v>209</v>
      </c>
      <c r="C27" s="0" t="s">
        <v>211</v>
      </c>
      <c r="D27" s="1" t="s">
        <v>53</v>
      </c>
      <c r="E27" s="0" t="s">
        <v>54</v>
      </c>
      <c r="F27" s="1" t="n">
        <v>0.88</v>
      </c>
      <c r="G27" s="1" t="n">
        <v>0.88</v>
      </c>
      <c r="H27" s="1" t="n">
        <f aca="false">-((G27*100/F27)-100)</f>
        <v>-0</v>
      </c>
      <c r="I27" s="33" t="n">
        <v>824</v>
      </c>
      <c r="J27" s="1" t="n">
        <f aca="false">(F27-G27)*I27</f>
        <v>0</v>
      </c>
      <c r="K27" s="1" t="n">
        <f aca="false">G27*I27</f>
        <v>725.12</v>
      </c>
      <c r="M27" s="23" t="n">
        <v>1736</v>
      </c>
      <c r="N27" s="3" t="s">
        <v>4</v>
      </c>
      <c r="O27" s="23" t="n">
        <v>1736</v>
      </c>
      <c r="P27" s="2" t="s">
        <v>29</v>
      </c>
      <c r="R27" s="10" t="n">
        <f aca="false">(O27-L27)/G27</f>
        <v>1972.72727272727</v>
      </c>
    </row>
    <row r="28" customFormat="false" ht="16.4" hidden="false" customHeight="false" outlineLevel="0" collapsed="false">
      <c r="A28" s="1" t="n">
        <v>6120</v>
      </c>
      <c r="B28" s="0" t="s">
        <v>209</v>
      </c>
      <c r="C28" s="0" t="s">
        <v>212</v>
      </c>
      <c r="D28" s="1" t="s">
        <v>53</v>
      </c>
      <c r="E28" s="0" t="s">
        <v>54</v>
      </c>
      <c r="F28" s="1" t="n">
        <v>0.16</v>
      </c>
      <c r="G28" s="1" t="n">
        <v>0.16</v>
      </c>
      <c r="H28" s="1" t="n">
        <f aca="false">-((G28*100/F28)-100)</f>
        <v>-0</v>
      </c>
      <c r="I28" s="33" t="n">
        <v>824</v>
      </c>
      <c r="J28" s="1" t="n">
        <f aca="false">(F28-G28)*I28</f>
        <v>0</v>
      </c>
      <c r="K28" s="1" t="n">
        <f aca="false">G28*I28</f>
        <v>131.84</v>
      </c>
      <c r="M28" s="23" t="n">
        <v>315</v>
      </c>
      <c r="N28" s="3" t="s">
        <v>4</v>
      </c>
      <c r="O28" s="23" t="n">
        <v>315</v>
      </c>
      <c r="P28" s="2" t="s">
        <v>29</v>
      </c>
      <c r="R28" s="10" t="n">
        <f aca="false">(O28-L28)/G28</f>
        <v>1968.75</v>
      </c>
    </row>
    <row r="29" customFormat="false" ht="16.4" hidden="false" customHeight="false" outlineLevel="0" collapsed="false">
      <c r="A29" s="1" t="n">
        <v>6120</v>
      </c>
      <c r="B29" s="0" t="s">
        <v>209</v>
      </c>
      <c r="C29" s="0" t="s">
        <v>213</v>
      </c>
      <c r="D29" s="1" t="s">
        <v>53</v>
      </c>
      <c r="E29" s="0" t="s">
        <v>54</v>
      </c>
      <c r="F29" s="1" t="n">
        <v>1.17</v>
      </c>
      <c r="G29" s="1" t="n">
        <v>1.17</v>
      </c>
      <c r="H29" s="1" t="n">
        <f aca="false">-((G29*100/F29)-100)</f>
        <v>-0</v>
      </c>
      <c r="I29" s="33" t="n">
        <v>824</v>
      </c>
      <c r="J29" s="1" t="n">
        <f aca="false">(F29-G29)*I29</f>
        <v>0</v>
      </c>
      <c r="K29" s="1" t="n">
        <f aca="false">G29*I29</f>
        <v>964.08</v>
      </c>
      <c r="M29" s="23" t="n">
        <v>2309</v>
      </c>
      <c r="N29" s="3" t="s">
        <v>4</v>
      </c>
      <c r="O29" s="23" t="n">
        <v>2309</v>
      </c>
      <c r="P29" s="2" t="s">
        <v>29</v>
      </c>
      <c r="R29" s="10" t="n">
        <f aca="false">(O29-L29)/G29</f>
        <v>1973.50427350427</v>
      </c>
    </row>
    <row r="30" customFormat="false" ht="16.4" hidden="false" customHeight="false" outlineLevel="0" collapsed="false">
      <c r="A30" s="1" t="n">
        <v>6120</v>
      </c>
      <c r="B30" s="0" t="s">
        <v>209</v>
      </c>
      <c r="C30" s="0" t="s">
        <v>51</v>
      </c>
      <c r="D30" s="1" t="s">
        <v>53</v>
      </c>
      <c r="E30" s="0" t="s">
        <v>54</v>
      </c>
      <c r="F30" s="1" t="n">
        <v>1.19</v>
      </c>
      <c r="G30" s="1" t="n">
        <v>1.19</v>
      </c>
      <c r="H30" s="1" t="n">
        <f aca="false">-((G30*100/F30)-100)</f>
        <v>-0</v>
      </c>
      <c r="I30" s="33" t="n">
        <v>824</v>
      </c>
      <c r="J30" s="1" t="n">
        <f aca="false">(F30-G30)*I30</f>
        <v>0</v>
      </c>
      <c r="K30" s="1" t="n">
        <f aca="false">G30*I30</f>
        <v>980.56</v>
      </c>
      <c r="M30" s="23" t="n">
        <v>2348</v>
      </c>
      <c r="N30" s="3" t="s">
        <v>4</v>
      </c>
      <c r="O30" s="23" t="n">
        <v>2348</v>
      </c>
      <c r="P30" s="2" t="s">
        <v>26</v>
      </c>
      <c r="R30" s="10" t="n">
        <f aca="false">(O30-L30)/G30</f>
        <v>1973.10924369748</v>
      </c>
    </row>
    <row r="31" customFormat="false" ht="16.4" hidden="false" customHeight="false" outlineLevel="0" collapsed="false">
      <c r="A31" s="1" t="n">
        <v>6120</v>
      </c>
      <c r="B31" s="0" t="s">
        <v>209</v>
      </c>
      <c r="C31" s="0" t="s">
        <v>42</v>
      </c>
      <c r="D31" s="1" t="s">
        <v>53</v>
      </c>
      <c r="E31" s="0" t="s">
        <v>54</v>
      </c>
      <c r="F31" s="1" t="n">
        <v>3.01</v>
      </c>
      <c r="G31" s="1" t="n">
        <v>3.01</v>
      </c>
      <c r="H31" s="1" t="n">
        <f aca="false">-((G31*100/F31)-100)</f>
        <v>-0</v>
      </c>
      <c r="I31" s="33" t="n">
        <v>824</v>
      </c>
      <c r="J31" s="1" t="n">
        <f aca="false">(F31-G31)*I31</f>
        <v>0</v>
      </c>
      <c r="K31" s="1" t="n">
        <f aca="false">G31*I31</f>
        <v>2480.24</v>
      </c>
      <c r="M31" s="23" t="n">
        <v>5940</v>
      </c>
      <c r="N31" s="3" t="s">
        <v>4</v>
      </c>
      <c r="O31" s="23" t="n">
        <v>5940</v>
      </c>
      <c r="P31" s="2" t="s">
        <v>26</v>
      </c>
      <c r="R31" s="10" t="n">
        <f aca="false">(O31-L31)/G31</f>
        <v>1973.4219269103</v>
      </c>
    </row>
    <row r="32" customFormat="false" ht="16.4" hidden="false" customHeight="false" outlineLevel="0" collapsed="false">
      <c r="A32" s="1" t="n">
        <v>6120</v>
      </c>
      <c r="B32" s="0" t="s">
        <v>209</v>
      </c>
      <c r="C32" s="0" t="s">
        <v>55</v>
      </c>
      <c r="D32" s="1" t="s">
        <v>53</v>
      </c>
      <c r="E32" s="0" t="s">
        <v>54</v>
      </c>
      <c r="F32" s="1" t="n">
        <v>8.76</v>
      </c>
      <c r="G32" s="1" t="n">
        <v>8.76</v>
      </c>
      <c r="H32" s="1" t="n">
        <f aca="false">-((G32*100/F32)-100)</f>
        <v>-0</v>
      </c>
      <c r="I32" s="33" t="n">
        <v>824</v>
      </c>
      <c r="J32" s="1" t="n">
        <f aca="false">(F32-G32)*I32</f>
        <v>0</v>
      </c>
      <c r="K32" s="1" t="n">
        <f aca="false">G32*I32</f>
        <v>7218.24</v>
      </c>
      <c r="M32" s="23" t="n">
        <v>17289</v>
      </c>
      <c r="N32" s="3" t="s">
        <v>4</v>
      </c>
      <c r="O32" s="23" t="n">
        <v>17289</v>
      </c>
      <c r="P32" s="2" t="s">
        <v>26</v>
      </c>
      <c r="R32" s="10" t="n">
        <f aca="false">(O32-L32)/G32</f>
        <v>1973.6301369863</v>
      </c>
    </row>
    <row r="33" customFormat="false" ht="16.4" hidden="false" customHeight="false" outlineLevel="0" collapsed="false">
      <c r="A33" s="1" t="n">
        <v>6120</v>
      </c>
      <c r="B33" s="0" t="s">
        <v>209</v>
      </c>
      <c r="C33" s="0" t="s">
        <v>214</v>
      </c>
      <c r="D33" s="1" t="s">
        <v>53</v>
      </c>
      <c r="E33" s="0" t="s">
        <v>54</v>
      </c>
      <c r="F33" s="1" t="n">
        <v>0.67</v>
      </c>
      <c r="G33" s="1" t="n">
        <v>0.67</v>
      </c>
      <c r="H33" s="1" t="n">
        <f aca="false">-((G33*100/F33)-100)</f>
        <v>-0</v>
      </c>
      <c r="I33" s="33" t="n">
        <v>824</v>
      </c>
      <c r="J33" s="1" t="n">
        <f aca="false">(F33-G33)*I33</f>
        <v>0</v>
      </c>
      <c r="K33" s="1" t="n">
        <f aca="false">G33*I33</f>
        <v>552.08</v>
      </c>
      <c r="M33" s="23" t="n">
        <v>770</v>
      </c>
      <c r="N33" s="3" t="s">
        <v>4</v>
      </c>
      <c r="O33" s="23" t="n">
        <v>770</v>
      </c>
      <c r="P33" s="2" t="s">
        <v>26</v>
      </c>
      <c r="R33" s="10" t="n">
        <f aca="false">(O33-L33)/G33</f>
        <v>1149.25373134328</v>
      </c>
    </row>
    <row r="34" customFormat="false" ht="16.4" hidden="false" customHeight="false" outlineLevel="0" collapsed="false">
      <c r="A34" s="1" t="n">
        <v>6120</v>
      </c>
      <c r="B34" s="0" t="s">
        <v>209</v>
      </c>
      <c r="C34" s="0" t="s">
        <v>212</v>
      </c>
      <c r="D34" s="1" t="s">
        <v>53</v>
      </c>
      <c r="E34" s="0" t="s">
        <v>54</v>
      </c>
      <c r="F34" s="1" t="n">
        <v>0.33</v>
      </c>
      <c r="G34" s="1" t="n">
        <v>0.33</v>
      </c>
      <c r="H34" s="1" t="n">
        <f aca="false">-((G34*100/F34)-100)</f>
        <v>-0</v>
      </c>
      <c r="I34" s="33" t="n">
        <v>824</v>
      </c>
      <c r="J34" s="1" t="n">
        <f aca="false">(F34-G34)*I34</f>
        <v>0</v>
      </c>
      <c r="K34" s="1" t="n">
        <f aca="false">G34*I34</f>
        <v>271.92</v>
      </c>
      <c r="M34" s="23" t="n">
        <v>651</v>
      </c>
      <c r="N34" s="3" t="s">
        <v>4</v>
      </c>
      <c r="O34" s="23" t="n">
        <v>651</v>
      </c>
      <c r="P34" s="2" t="s">
        <v>29</v>
      </c>
      <c r="R34" s="10" t="n">
        <f aca="false">(O34-L34)/G34</f>
        <v>1972.72727272727</v>
      </c>
    </row>
    <row r="35" customFormat="false" ht="15" hidden="false" customHeight="false" outlineLevel="0" collapsed="false">
      <c r="A35" s="1"/>
      <c r="D35" s="1"/>
      <c r="F35" s="1"/>
      <c r="G35" s="1"/>
      <c r="H35" s="1"/>
      <c r="I35" s="1"/>
      <c r="J35" s="1"/>
      <c r="K35" s="1" t="n">
        <f aca="false">G35*I35</f>
        <v>0</v>
      </c>
      <c r="M35" s="23"/>
      <c r="N35" s="1"/>
      <c r="O35" s="23"/>
      <c r="R35" s="10"/>
    </row>
    <row r="36" customFormat="false" ht="16.4" hidden="false" customHeight="false" outlineLevel="0" collapsed="false">
      <c r="A36" s="1" t="n">
        <v>6136</v>
      </c>
      <c r="B36" s="0" t="s">
        <v>215</v>
      </c>
      <c r="C36" s="0" t="s">
        <v>55</v>
      </c>
      <c r="D36" s="1" t="s">
        <v>24</v>
      </c>
      <c r="E36" s="0" t="s">
        <v>28</v>
      </c>
      <c r="F36" s="1" t="n">
        <v>3.8</v>
      </c>
      <c r="G36" s="1" t="n">
        <v>3.73</v>
      </c>
      <c r="H36" s="1" t="n">
        <f aca="false">-((G36*100/F36)-100)</f>
        <v>1.84210526315789</v>
      </c>
      <c r="I36" s="33" t="n">
        <v>224</v>
      </c>
      <c r="J36" s="1" t="n">
        <f aca="false">(F36-G36)*I36</f>
        <v>15.68</v>
      </c>
      <c r="K36" s="1" t="n">
        <f aca="false">G36*I36</f>
        <v>835.52</v>
      </c>
      <c r="M36" s="23" t="n">
        <v>4271</v>
      </c>
      <c r="N36" s="3" t="s">
        <v>4</v>
      </c>
      <c r="O36" s="23" t="n">
        <v>4271</v>
      </c>
      <c r="P36" s="2" t="s">
        <v>29</v>
      </c>
      <c r="R36" s="10" t="n">
        <f aca="false">(O36-L36)/G36</f>
        <v>1145.04021447721</v>
      </c>
    </row>
    <row r="37" customFormat="false" ht="16.4" hidden="false" customHeight="false" outlineLevel="0" collapsed="false">
      <c r="A37" s="1" t="n">
        <v>6136</v>
      </c>
      <c r="B37" s="0" t="s">
        <v>215</v>
      </c>
      <c r="C37" s="0" t="s">
        <v>42</v>
      </c>
      <c r="D37" s="1" t="s">
        <v>24</v>
      </c>
      <c r="E37" s="0" t="s">
        <v>28</v>
      </c>
      <c r="F37" s="1" t="n">
        <v>1.46</v>
      </c>
      <c r="G37" s="1" t="n">
        <v>1.46</v>
      </c>
      <c r="H37" s="1" t="n">
        <f aca="false">-((G37*100/F37)-100)</f>
        <v>-0</v>
      </c>
      <c r="I37" s="33" t="n">
        <v>224</v>
      </c>
      <c r="J37" s="1" t="n">
        <f aca="false">(F37-G37)*I37</f>
        <v>0</v>
      </c>
      <c r="K37" s="1" t="n">
        <f aca="false">G37*I37</f>
        <v>327.04</v>
      </c>
      <c r="M37" s="23" t="n">
        <v>1642</v>
      </c>
      <c r="N37" s="3" t="s">
        <v>4</v>
      </c>
      <c r="O37" s="23" t="n">
        <v>1642</v>
      </c>
      <c r="P37" s="2" t="s">
        <v>29</v>
      </c>
      <c r="R37" s="10" t="n">
        <f aca="false">(O37-L37)/G37</f>
        <v>1124.65753424658</v>
      </c>
    </row>
    <row r="38" customFormat="false" ht="15" hidden="false" customHeight="false" outlineLevel="0" collapsed="false">
      <c r="A38" s="1"/>
      <c r="D38" s="1"/>
      <c r="F38" s="1"/>
      <c r="G38" s="1"/>
      <c r="H38" s="1"/>
      <c r="J38" s="1"/>
      <c r="K38" s="1" t="n">
        <f aca="false">G38*I38</f>
        <v>0</v>
      </c>
      <c r="M38" s="23"/>
      <c r="N38" s="1"/>
      <c r="O38" s="23"/>
      <c r="R38" s="10"/>
    </row>
    <row r="39" customFormat="false" ht="16.4" hidden="false" customHeight="false" outlineLevel="0" collapsed="false">
      <c r="A39" s="1" t="n">
        <v>6108</v>
      </c>
      <c r="B39" s="0" t="s">
        <v>88</v>
      </c>
      <c r="C39" s="0" t="s">
        <v>58</v>
      </c>
      <c r="D39" s="1" t="s">
        <v>37</v>
      </c>
      <c r="E39" s="0" t="s">
        <v>38</v>
      </c>
      <c r="F39" s="1" t="n">
        <v>1.11</v>
      </c>
      <c r="G39" s="1" t="n">
        <v>1.11</v>
      </c>
      <c r="H39" s="1" t="n">
        <f aca="false">-((G39*100/F39)-100)</f>
        <v>-0</v>
      </c>
      <c r="I39" s="33" t="n">
        <v>450</v>
      </c>
      <c r="J39" s="1" t="n">
        <f aca="false">(F39-G39)*I39</f>
        <v>0</v>
      </c>
      <c r="K39" s="1" t="n">
        <f aca="false">G39*I39</f>
        <v>499.5</v>
      </c>
      <c r="M39" s="23" t="n">
        <v>1773</v>
      </c>
      <c r="N39" s="3" t="s">
        <v>4</v>
      </c>
      <c r="O39" s="23" t="n">
        <v>1773</v>
      </c>
      <c r="P39" s="2" t="s">
        <v>29</v>
      </c>
      <c r="R39" s="10" t="n">
        <f aca="false">(O39-L39)/G39</f>
        <v>1597.2972972973</v>
      </c>
    </row>
    <row r="40" customFormat="false" ht="15" hidden="false" customHeight="false" outlineLevel="0" collapsed="false">
      <c r="A40" s="1"/>
      <c r="D40" s="1"/>
      <c r="F40" s="1"/>
      <c r="G40" s="1"/>
      <c r="H40" s="1"/>
      <c r="J40" s="1"/>
      <c r="K40" s="1" t="n">
        <f aca="false">G40*I40</f>
        <v>0</v>
      </c>
      <c r="M40" s="23"/>
      <c r="N40" s="1"/>
      <c r="O40" s="23"/>
      <c r="R40" s="10"/>
    </row>
    <row r="41" customFormat="false" ht="16.4" hidden="false" customHeight="false" outlineLevel="0" collapsed="false">
      <c r="A41" s="1" t="n">
        <v>6115</v>
      </c>
      <c r="B41" s="0" t="s">
        <v>216</v>
      </c>
      <c r="C41" s="0" t="s">
        <v>197</v>
      </c>
      <c r="D41" s="1" t="s">
        <v>53</v>
      </c>
      <c r="E41" s="0" t="s">
        <v>68</v>
      </c>
      <c r="F41" s="1" t="n">
        <v>12.7</v>
      </c>
      <c r="G41" s="1" t="n">
        <v>12.7</v>
      </c>
      <c r="H41" s="1" t="n">
        <f aca="false">-((G41*100/F41)-100)</f>
        <v>-0</v>
      </c>
      <c r="I41" s="33" t="n">
        <v>582</v>
      </c>
      <c r="J41" s="1" t="n">
        <f aca="false">(F41-G41)*I41</f>
        <v>0</v>
      </c>
      <c r="K41" s="1" t="n">
        <f aca="false">G41*I41</f>
        <v>7391.4</v>
      </c>
      <c r="M41" s="23" t="n">
        <v>19854</v>
      </c>
      <c r="N41" s="3" t="s">
        <v>4</v>
      </c>
      <c r="O41" s="23" t="n">
        <v>19854</v>
      </c>
      <c r="P41" s="2" t="s">
        <v>26</v>
      </c>
      <c r="R41" s="10" t="n">
        <f aca="false">(O41-L41)/G41</f>
        <v>1563.30708661417</v>
      </c>
    </row>
    <row r="42" customFormat="false" ht="15" hidden="false" customHeight="false" outlineLevel="0" collapsed="false">
      <c r="A42" s="1"/>
      <c r="D42" s="1"/>
      <c r="F42" s="1"/>
      <c r="G42" s="1"/>
      <c r="H42" s="1"/>
      <c r="J42" s="1"/>
      <c r="K42" s="1" t="n">
        <f aca="false">G42*I42</f>
        <v>0</v>
      </c>
      <c r="M42" s="23"/>
      <c r="N42" s="1"/>
      <c r="O42" s="23"/>
      <c r="R42" s="10"/>
    </row>
    <row r="43" customFormat="false" ht="16.4" hidden="false" customHeight="false" outlineLevel="0" collapsed="false">
      <c r="A43" s="1" t="n">
        <v>6112</v>
      </c>
      <c r="B43" s="0" t="s">
        <v>169</v>
      </c>
      <c r="C43" s="0" t="s">
        <v>42</v>
      </c>
      <c r="D43" s="1" t="s">
        <v>37</v>
      </c>
      <c r="E43" s="0" t="s">
        <v>38</v>
      </c>
      <c r="F43" s="1" t="n">
        <v>4.95</v>
      </c>
      <c r="G43" s="1" t="n">
        <v>4.75</v>
      </c>
      <c r="H43" s="1" t="n">
        <f aca="false">-((G43*100/F43)-100)</f>
        <v>4.04040404040404</v>
      </c>
      <c r="I43" s="33" t="n">
        <v>450</v>
      </c>
      <c r="J43" s="1" t="n">
        <f aca="false">(F43-G43)*I43</f>
        <v>90.0000000000001</v>
      </c>
      <c r="K43" s="1" t="n">
        <f aca="false">G43*I43</f>
        <v>2137.5</v>
      </c>
      <c r="M43" s="23" t="n">
        <v>7862</v>
      </c>
      <c r="N43" s="3" t="s">
        <v>4</v>
      </c>
      <c r="O43" s="23" t="n">
        <v>7862</v>
      </c>
      <c r="P43" s="0" t="s">
        <v>29</v>
      </c>
      <c r="R43" s="10" t="n">
        <f aca="false">(O43-L43)/G43</f>
        <v>1655.15789473684</v>
      </c>
    </row>
    <row r="44" customFormat="false" ht="16.4" hidden="false" customHeight="false" outlineLevel="0" collapsed="false">
      <c r="A44" s="1" t="n">
        <v>6112</v>
      </c>
      <c r="B44" s="0" t="s">
        <v>169</v>
      </c>
      <c r="C44" s="0" t="s">
        <v>217</v>
      </c>
      <c r="D44" s="1" t="s">
        <v>24</v>
      </c>
      <c r="E44" s="0" t="s">
        <v>35</v>
      </c>
      <c r="F44" s="1" t="n">
        <v>0.57</v>
      </c>
      <c r="G44" s="1" t="n">
        <v>0.57</v>
      </c>
      <c r="H44" s="1" t="n">
        <f aca="false">-((G44*100/F44)-100)</f>
        <v>-0</v>
      </c>
      <c r="I44" s="33" t="n">
        <v>279</v>
      </c>
      <c r="J44" s="1" t="n">
        <f aca="false">(F44-G44)*I44</f>
        <v>0</v>
      </c>
      <c r="K44" s="1" t="n">
        <f aca="false">G44*I44</f>
        <v>159.03</v>
      </c>
      <c r="M44" s="23" t="n">
        <v>730</v>
      </c>
      <c r="N44" s="3" t="s">
        <v>4</v>
      </c>
      <c r="O44" s="23" t="n">
        <v>730</v>
      </c>
      <c r="P44" s="0" t="s">
        <v>29</v>
      </c>
      <c r="R44" s="10" t="n">
        <f aca="false">(O44-L44)/G44</f>
        <v>1280.70175438597</v>
      </c>
    </row>
    <row r="45" customFormat="false" ht="15" hidden="false" customHeight="false" outlineLevel="0" collapsed="false">
      <c r="A45" s="1"/>
      <c r="D45" s="1"/>
      <c r="F45" s="1"/>
      <c r="G45" s="1"/>
      <c r="H45" s="1"/>
      <c r="J45" s="1"/>
      <c r="K45" s="1" t="n">
        <f aca="false">G45*I45</f>
        <v>0</v>
      </c>
      <c r="M45" s="23"/>
      <c r="N45" s="3"/>
      <c r="O45" s="23"/>
      <c r="R45" s="10"/>
    </row>
    <row r="46" customFormat="false" ht="16.4" hidden="false" customHeight="false" outlineLevel="0" collapsed="false">
      <c r="A46" s="1" t="n">
        <v>6133</v>
      </c>
      <c r="B46" s="0" t="s">
        <v>218</v>
      </c>
      <c r="C46" s="0" t="s">
        <v>34</v>
      </c>
      <c r="D46" s="1" t="s">
        <v>24</v>
      </c>
      <c r="E46" s="0" t="s">
        <v>35</v>
      </c>
      <c r="F46" s="1" t="n">
        <v>6.54</v>
      </c>
      <c r="G46" s="1" t="n">
        <v>6.54</v>
      </c>
      <c r="H46" s="1" t="n">
        <f aca="false">-((G46*100/F46)-100)</f>
        <v>-0</v>
      </c>
      <c r="I46" s="33" t="n">
        <v>279</v>
      </c>
      <c r="J46" s="1" t="n">
        <f aca="false">(F46-G46)*I46</f>
        <v>0</v>
      </c>
      <c r="K46" s="1" t="n">
        <f aca="false">G46*I46</f>
        <v>1824.66</v>
      </c>
      <c r="M46" s="23" t="n">
        <v>4752</v>
      </c>
      <c r="N46" s="3" t="s">
        <v>4</v>
      </c>
      <c r="O46" s="23" t="n">
        <v>4752</v>
      </c>
      <c r="P46" s="0" t="s">
        <v>26</v>
      </c>
      <c r="R46" s="10" t="n">
        <f aca="false">(O46-L46)/G46</f>
        <v>726.605504587156</v>
      </c>
    </row>
    <row r="47" customFormat="false" ht="16.4" hidden="false" customHeight="false" outlineLevel="0" collapsed="false">
      <c r="A47" s="1" t="n">
        <v>6133</v>
      </c>
      <c r="B47" s="0" t="s">
        <v>218</v>
      </c>
      <c r="C47" s="0" t="s">
        <v>219</v>
      </c>
      <c r="D47" s="1"/>
      <c r="F47" s="1"/>
      <c r="G47" s="1"/>
      <c r="H47" s="1" t="e">
        <f aca="false">-((G47*100/F47)-100)</f>
        <v>#DIV/0!</v>
      </c>
      <c r="J47" s="1" t="n">
        <f aca="false">(F47-G47)*I47</f>
        <v>0</v>
      </c>
      <c r="K47" s="1" t="n">
        <f aca="false">G47*I47</f>
        <v>0</v>
      </c>
      <c r="M47" s="23" t="n">
        <v>575</v>
      </c>
      <c r="N47" s="3" t="s">
        <v>4</v>
      </c>
      <c r="O47" s="23" t="n">
        <v>575</v>
      </c>
      <c r="P47" s="0" t="s">
        <v>40</v>
      </c>
      <c r="R47" s="10" t="e">
        <f aca="false">(O47-L47)/G47</f>
        <v>#DIV/0!</v>
      </c>
    </row>
    <row r="48" customFormat="false" ht="16.4" hidden="false" customHeight="false" outlineLevel="0" collapsed="false">
      <c r="A48" s="1" t="n">
        <v>6133</v>
      </c>
      <c r="B48" s="0" t="s">
        <v>218</v>
      </c>
      <c r="C48" s="0" t="s">
        <v>34</v>
      </c>
      <c r="D48" s="1" t="s">
        <v>24</v>
      </c>
      <c r="E48" s="0" t="s">
        <v>220</v>
      </c>
      <c r="F48" s="1" t="n">
        <v>6.27</v>
      </c>
      <c r="G48" s="1" t="n">
        <v>6.27</v>
      </c>
      <c r="H48" s="1" t="n">
        <f aca="false">-((G48*100/F48)-100)</f>
        <v>-0</v>
      </c>
      <c r="I48" s="33" t="n">
        <v>282</v>
      </c>
      <c r="J48" s="1" t="n">
        <f aca="false">(F48-G48)*I48</f>
        <v>0</v>
      </c>
      <c r="K48" s="1" t="n">
        <f aca="false">G48*I48</f>
        <v>1768.14</v>
      </c>
      <c r="M48" s="23" t="n">
        <v>4752</v>
      </c>
      <c r="N48" s="3" t="s">
        <v>4</v>
      </c>
      <c r="O48" s="23" t="n">
        <v>4752</v>
      </c>
      <c r="P48" s="0" t="s">
        <v>26</v>
      </c>
      <c r="R48" s="10" t="n">
        <f aca="false">(O48-L48)/G48</f>
        <v>757.894736842105</v>
      </c>
    </row>
    <row r="49" customFormat="false" ht="16.4" hidden="false" customHeight="false" outlineLevel="0" collapsed="false">
      <c r="A49" s="1" t="n">
        <v>6133</v>
      </c>
      <c r="B49" s="0" t="s">
        <v>218</v>
      </c>
      <c r="C49" s="0" t="s">
        <v>219</v>
      </c>
      <c r="D49" s="1"/>
      <c r="F49" s="1"/>
      <c r="G49" s="1"/>
      <c r="H49" s="1" t="e">
        <f aca="false">-((G49*100/F49)-100)</f>
        <v>#DIV/0!</v>
      </c>
      <c r="J49" s="1" t="n">
        <f aca="false">(F49-G49)*I49</f>
        <v>0</v>
      </c>
      <c r="K49" s="1" t="n">
        <f aca="false">G49*I49</f>
        <v>0</v>
      </c>
      <c r="M49" s="23" t="n">
        <v>706</v>
      </c>
      <c r="N49" s="3" t="s">
        <v>4</v>
      </c>
      <c r="O49" s="23" t="n">
        <v>706</v>
      </c>
      <c r="P49" s="0" t="s">
        <v>40</v>
      </c>
      <c r="R49" s="10" t="e">
        <f aca="false">(O49-L49)/G49</f>
        <v>#DIV/0!</v>
      </c>
    </row>
    <row r="50" customFormat="false" ht="15" hidden="false" customHeight="false" outlineLevel="0" collapsed="false">
      <c r="A50" s="1"/>
      <c r="D50" s="1"/>
      <c r="F50" s="1"/>
      <c r="G50" s="1"/>
      <c r="H50" s="1"/>
      <c r="J50" s="1"/>
      <c r="K50" s="1" t="n">
        <f aca="false">G50*I50</f>
        <v>0</v>
      </c>
      <c r="M50" s="23"/>
      <c r="N50" s="1"/>
      <c r="O50" s="23"/>
      <c r="R50" s="10"/>
    </row>
    <row r="51" customFormat="false" ht="16.4" hidden="false" customHeight="false" outlineLevel="0" collapsed="false">
      <c r="A51" s="1" t="n">
        <v>6140</v>
      </c>
      <c r="B51" s="0" t="s">
        <v>94</v>
      </c>
      <c r="C51" s="0" t="s">
        <v>221</v>
      </c>
      <c r="D51" s="1"/>
      <c r="F51" s="1" t="n">
        <v>1.3</v>
      </c>
      <c r="G51" s="1" t="n">
        <v>0</v>
      </c>
      <c r="H51" s="1" t="n">
        <f aca="false">-((G51*100/F51)-100)</f>
        <v>100</v>
      </c>
      <c r="I51" s="1" t="n">
        <v>0</v>
      </c>
      <c r="J51" s="1" t="n">
        <f aca="false">(F51-G51)*I51</f>
        <v>0</v>
      </c>
      <c r="K51" s="1" t="n">
        <f aca="false">G51*I51</f>
        <v>0</v>
      </c>
      <c r="M51" s="23" t="n">
        <v>1126</v>
      </c>
      <c r="N51" s="3" t="s">
        <v>4</v>
      </c>
      <c r="O51" s="23" t="n">
        <v>1126</v>
      </c>
      <c r="P51" s="0" t="s">
        <v>26</v>
      </c>
      <c r="R51" s="10" t="e">
        <f aca="false">(O51-L51)/G51</f>
        <v>#DIV/0!</v>
      </c>
    </row>
    <row r="52" customFormat="false" ht="15" hidden="false" customHeight="false" outlineLevel="0" collapsed="false">
      <c r="A52" s="1"/>
      <c r="D52" s="1"/>
      <c r="F52" s="1"/>
      <c r="G52" s="1"/>
      <c r="H52" s="1"/>
      <c r="I52" s="1"/>
      <c r="J52" s="1"/>
      <c r="K52" s="1" t="n">
        <f aca="false">G52*I52</f>
        <v>0</v>
      </c>
      <c r="M52" s="23"/>
      <c r="N52" s="3"/>
      <c r="O52" s="23"/>
      <c r="R52" s="10"/>
    </row>
    <row r="53" customFormat="false" ht="16.4" hidden="false" customHeight="false" outlineLevel="0" collapsed="false">
      <c r="A53" s="1" t="n">
        <v>6100</v>
      </c>
      <c r="B53" s="0" t="s">
        <v>222</v>
      </c>
      <c r="C53" s="0" t="s">
        <v>223</v>
      </c>
      <c r="D53" s="1" t="s">
        <v>53</v>
      </c>
      <c r="E53" s="0" t="s">
        <v>68</v>
      </c>
      <c r="F53" s="1" t="n">
        <v>0.35</v>
      </c>
      <c r="G53" s="1" t="n">
        <v>0.35</v>
      </c>
      <c r="H53" s="1" t="n">
        <f aca="false">-((G53*100/F53)-100)</f>
        <v>-0</v>
      </c>
      <c r="I53" s="33" t="n">
        <v>582</v>
      </c>
      <c r="J53" s="1" t="n">
        <f aca="false">(F53-G53)*I53</f>
        <v>0</v>
      </c>
      <c r="K53" s="1" t="n">
        <f aca="false">G53*I53</f>
        <v>203.7</v>
      </c>
      <c r="M53" s="23" t="n">
        <v>562</v>
      </c>
      <c r="N53" s="3" t="s">
        <v>4</v>
      </c>
      <c r="O53" s="23" t="n">
        <v>562</v>
      </c>
      <c r="P53" s="0" t="s">
        <v>29</v>
      </c>
      <c r="R53" s="10" t="n">
        <f aca="false">(O53-L53)/G53</f>
        <v>1605.71428571429</v>
      </c>
    </row>
    <row r="54" customFormat="false" ht="16.4" hidden="false" customHeight="false" outlineLevel="0" collapsed="false">
      <c r="A54" s="1" t="n">
        <v>6100</v>
      </c>
      <c r="B54" s="0" t="s">
        <v>222</v>
      </c>
      <c r="C54" s="0" t="s">
        <v>224</v>
      </c>
      <c r="D54" s="1" t="s">
        <v>53</v>
      </c>
      <c r="E54" s="0" t="s">
        <v>68</v>
      </c>
      <c r="F54" s="1" t="n">
        <v>0.25</v>
      </c>
      <c r="G54" s="1" t="n">
        <v>0.25</v>
      </c>
      <c r="H54" s="1" t="n">
        <f aca="false">-((G54*100/F54)-100)</f>
        <v>-0</v>
      </c>
      <c r="I54" s="33" t="n">
        <v>582</v>
      </c>
      <c r="J54" s="1" t="n">
        <f aca="false">(F54-G54)*I54</f>
        <v>0</v>
      </c>
      <c r="K54" s="1" t="n">
        <f aca="false">G54*I54</f>
        <v>145.5</v>
      </c>
      <c r="M54" s="23" t="n">
        <v>401</v>
      </c>
      <c r="N54" s="3" t="s">
        <v>4</v>
      </c>
      <c r="O54" s="23" t="n">
        <v>401</v>
      </c>
      <c r="P54" s="0" t="s">
        <v>29</v>
      </c>
      <c r="R54" s="10" t="n">
        <f aca="false">(O54-L54)/G54</f>
        <v>1604</v>
      </c>
    </row>
    <row r="55" customFormat="false" ht="16.4" hidden="false" customHeight="false" outlineLevel="0" collapsed="false">
      <c r="A55" s="1" t="n">
        <v>6100</v>
      </c>
      <c r="B55" s="0" t="s">
        <v>222</v>
      </c>
      <c r="C55" s="0" t="s">
        <v>36</v>
      </c>
      <c r="D55" s="1" t="s">
        <v>53</v>
      </c>
      <c r="E55" s="0" t="s">
        <v>68</v>
      </c>
      <c r="F55" s="1" t="n">
        <v>0.39</v>
      </c>
      <c r="G55" s="1" t="n">
        <v>0.39</v>
      </c>
      <c r="H55" s="1" t="n">
        <f aca="false">-((G55*100/F55)-100)</f>
        <v>-0</v>
      </c>
      <c r="I55" s="33" t="n">
        <v>582</v>
      </c>
      <c r="J55" s="1" t="n">
        <f aca="false">(F55-G55)*I55</f>
        <v>0</v>
      </c>
      <c r="K55" s="1" t="n">
        <f aca="false">G55*I55</f>
        <v>226.98</v>
      </c>
      <c r="M55" s="23" t="n">
        <v>626</v>
      </c>
      <c r="N55" s="3" t="s">
        <v>4</v>
      </c>
      <c r="O55" s="23" t="n">
        <v>626</v>
      </c>
      <c r="P55" s="0" t="s">
        <v>29</v>
      </c>
    </row>
    <row r="56" customFormat="false" ht="15" hidden="false" customHeight="false" outlineLevel="0" collapsed="false">
      <c r="J56" s="1"/>
      <c r="K56" s="1" t="n">
        <f aca="false">G56*I56</f>
        <v>0</v>
      </c>
    </row>
    <row r="57" customFormat="false" ht="16.4" hidden="false" customHeight="false" outlineLevel="0" collapsed="false">
      <c r="A57" s="1" t="n">
        <v>6134</v>
      </c>
      <c r="B57" s="0" t="s">
        <v>225</v>
      </c>
      <c r="C57" s="0" t="s">
        <v>226</v>
      </c>
      <c r="D57" s="1" t="s">
        <v>37</v>
      </c>
      <c r="E57" s="0" t="s">
        <v>38</v>
      </c>
      <c r="F57" s="1" t="n">
        <v>2.26</v>
      </c>
      <c r="G57" s="1" t="n">
        <v>2.26</v>
      </c>
      <c r="H57" s="1" t="n">
        <f aca="false">-((G57*100/F57)-100)</f>
        <v>-0</v>
      </c>
      <c r="I57" s="33" t="n">
        <v>450</v>
      </c>
      <c r="J57" s="1" t="n">
        <f aca="false">(F57-G57)*I57</f>
        <v>0</v>
      </c>
      <c r="K57" s="1" t="n">
        <f aca="false">G57*I57</f>
        <v>1017</v>
      </c>
      <c r="M57" s="23" t="n">
        <v>3548</v>
      </c>
      <c r="N57" s="3" t="s">
        <v>4</v>
      </c>
      <c r="O57" s="23" t="n">
        <v>3548</v>
      </c>
      <c r="P57" s="0" t="s">
        <v>29</v>
      </c>
      <c r="R57" s="10" t="n">
        <f aca="false">(O57-L57)/G57</f>
        <v>1569.91150442478</v>
      </c>
    </row>
    <row r="58" customFormat="false" ht="15" hidden="false" customHeight="false" outlineLevel="0" collapsed="false">
      <c r="J58" s="1"/>
      <c r="K58" s="1" t="n">
        <f aca="false">G58*I58</f>
        <v>0</v>
      </c>
    </row>
    <row r="59" customFormat="false" ht="16.4" hidden="false" customHeight="false" outlineLevel="0" collapsed="false">
      <c r="A59" s="1" t="n">
        <v>6126</v>
      </c>
      <c r="B59" s="0" t="s">
        <v>181</v>
      </c>
      <c r="C59" s="0" t="s">
        <v>27</v>
      </c>
      <c r="E59" s="0" t="s">
        <v>46</v>
      </c>
      <c r="F59" s="1" t="n">
        <v>1.69</v>
      </c>
      <c r="G59" s="1" t="n">
        <v>0</v>
      </c>
      <c r="H59" s="1" t="n">
        <f aca="false">-((G59*100/F59)-100)</f>
        <v>100</v>
      </c>
      <c r="I59" s="33" t="n">
        <v>0</v>
      </c>
      <c r="J59" s="1" t="n">
        <f aca="false">(F59-G59)*I59</f>
        <v>0</v>
      </c>
      <c r="K59" s="1" t="n">
        <f aca="false">G59*I59</f>
        <v>0</v>
      </c>
      <c r="M59" s="23" t="n">
        <v>1484</v>
      </c>
      <c r="N59" s="3" t="s">
        <v>4</v>
      </c>
      <c r="O59" s="23" t="n">
        <v>1484</v>
      </c>
      <c r="P59" s="0" t="s">
        <v>29</v>
      </c>
      <c r="R59" s="10" t="e">
        <f aca="false">(O59-L59)/G59</f>
        <v>#DIV/0!</v>
      </c>
    </row>
    <row r="60" customFormat="false" ht="16.4" hidden="false" customHeight="false" outlineLevel="0" collapsed="false">
      <c r="A60" s="1" t="n">
        <v>6126</v>
      </c>
      <c r="B60" s="0" t="s">
        <v>181</v>
      </c>
      <c r="C60" s="0" t="s">
        <v>227</v>
      </c>
      <c r="E60" s="0" t="s">
        <v>46</v>
      </c>
      <c r="F60" s="1" t="n">
        <v>4.02</v>
      </c>
      <c r="G60" s="1" t="n">
        <v>0</v>
      </c>
      <c r="H60" s="1" t="n">
        <f aca="false">-((G60*100/F60)-100)</f>
        <v>100</v>
      </c>
      <c r="I60" s="33" t="n">
        <v>0</v>
      </c>
      <c r="J60" s="1" t="n">
        <f aca="false">(F60-G60)*I60</f>
        <v>0</v>
      </c>
      <c r="K60" s="1" t="n">
        <f aca="false">G60*I60</f>
        <v>0</v>
      </c>
      <c r="M60" s="23" t="n">
        <v>3529</v>
      </c>
      <c r="N60" s="3" t="s">
        <v>4</v>
      </c>
      <c r="O60" s="23" t="n">
        <v>3529</v>
      </c>
      <c r="P60" s="0" t="s">
        <v>29</v>
      </c>
      <c r="R60" s="10" t="e">
        <f aca="false">(O60-L60)/G60</f>
        <v>#DIV/0!</v>
      </c>
    </row>
    <row r="61" customFormat="false" ht="16.4" hidden="false" customHeight="false" outlineLevel="0" collapsed="false">
      <c r="A61" s="1" t="n">
        <v>6126</v>
      </c>
      <c r="B61" s="0" t="s">
        <v>181</v>
      </c>
      <c r="C61" s="0" t="s">
        <v>228</v>
      </c>
      <c r="E61" s="0" t="s">
        <v>46</v>
      </c>
      <c r="F61" s="1" t="n">
        <v>1.35</v>
      </c>
      <c r="G61" s="1" t="n">
        <v>0</v>
      </c>
      <c r="H61" s="1" t="n">
        <f aca="false">-((G61*100/F61)-100)</f>
        <v>100</v>
      </c>
      <c r="I61" s="33" t="n">
        <v>0</v>
      </c>
      <c r="J61" s="1" t="n">
        <f aca="false">(F61-G61)*I61</f>
        <v>0</v>
      </c>
      <c r="K61" s="1" t="n">
        <f aca="false">G61*I61</f>
        <v>0</v>
      </c>
      <c r="M61" s="23" t="n">
        <v>1184</v>
      </c>
      <c r="N61" s="3" t="s">
        <v>4</v>
      </c>
      <c r="O61" s="23" t="n">
        <v>1184</v>
      </c>
      <c r="P61" s="0" t="s">
        <v>29</v>
      </c>
      <c r="R61" s="10" t="e">
        <f aca="false">(O61-L61)/G61</f>
        <v>#DIV/0!</v>
      </c>
    </row>
    <row r="62" customFormat="false" ht="16.4" hidden="false" customHeight="false" outlineLevel="0" collapsed="false">
      <c r="A62" s="1" t="n">
        <v>6126</v>
      </c>
      <c r="B62" s="0" t="s">
        <v>181</v>
      </c>
      <c r="C62" s="0" t="s">
        <v>229</v>
      </c>
      <c r="E62" s="0" t="s">
        <v>46</v>
      </c>
      <c r="F62" s="1" t="n">
        <v>1.99</v>
      </c>
      <c r="G62" s="1" t="n">
        <v>0</v>
      </c>
      <c r="H62" s="1" t="n">
        <f aca="false">-((G62*100/F62)-100)</f>
        <v>100</v>
      </c>
      <c r="I62" s="33" t="n">
        <v>0</v>
      </c>
      <c r="J62" s="1" t="n">
        <f aca="false">(F62-G62)*I62</f>
        <v>0</v>
      </c>
      <c r="K62" s="1" t="n">
        <f aca="false">G62*I62</f>
        <v>0</v>
      </c>
      <c r="M62" s="23" t="n">
        <v>1798</v>
      </c>
      <c r="N62" s="3" t="s">
        <v>4</v>
      </c>
      <c r="O62" s="23" t="n">
        <v>1798</v>
      </c>
      <c r="P62" s="0" t="s">
        <v>29</v>
      </c>
      <c r="R62" s="10" t="e">
        <f aca="false">(O62-L62)/G62</f>
        <v>#DIV/0!</v>
      </c>
    </row>
    <row r="63" customFormat="false" ht="16.4" hidden="false" customHeight="false" outlineLevel="0" collapsed="false">
      <c r="A63" s="1" t="n">
        <v>6126</v>
      </c>
      <c r="B63" s="0" t="s">
        <v>181</v>
      </c>
      <c r="C63" s="0" t="s">
        <v>230</v>
      </c>
      <c r="E63" s="0" t="s">
        <v>46</v>
      </c>
      <c r="F63" s="1" t="n">
        <v>1.94</v>
      </c>
      <c r="G63" s="1" t="n">
        <v>0</v>
      </c>
      <c r="H63" s="1" t="n">
        <f aca="false">-((G63*100/F63)-100)</f>
        <v>100</v>
      </c>
      <c r="I63" s="33" t="n">
        <v>0</v>
      </c>
      <c r="J63" s="1" t="n">
        <f aca="false">(F63-G63)*I63</f>
        <v>0</v>
      </c>
      <c r="K63" s="1" t="n">
        <f aca="false">G63*I63</f>
        <v>0</v>
      </c>
      <c r="M63" s="23" t="n">
        <v>1703</v>
      </c>
      <c r="N63" s="3" t="s">
        <v>4</v>
      </c>
      <c r="O63" s="23" t="n">
        <v>1703</v>
      </c>
      <c r="P63" s="0" t="s">
        <v>29</v>
      </c>
      <c r="R63" s="10" t="e">
        <f aca="false">(O63-L63)/G63</f>
        <v>#DIV/0!</v>
      </c>
    </row>
    <row r="64" customFormat="false" ht="15" hidden="false" customHeight="false" outlineLevel="0" collapsed="false">
      <c r="A64" s="1"/>
      <c r="D64" s="1"/>
      <c r="F64" s="1"/>
      <c r="G64" s="1"/>
      <c r="H64" s="1"/>
      <c r="I64" s="1"/>
      <c r="J64" s="1"/>
      <c r="K64" s="1" t="n">
        <f aca="false">G64*I64</f>
        <v>0</v>
      </c>
      <c r="M64" s="23"/>
      <c r="N64" s="1"/>
      <c r="O64" s="23"/>
      <c r="R64" s="10"/>
    </row>
    <row r="65" customFormat="false" ht="16.4" hidden="false" customHeight="false" outlineLevel="0" collapsed="false">
      <c r="A65" s="1" t="n">
        <v>6127</v>
      </c>
      <c r="B65" s="0" t="s">
        <v>231</v>
      </c>
      <c r="C65" s="0" t="s">
        <v>55</v>
      </c>
      <c r="D65" s="1" t="s">
        <v>37</v>
      </c>
      <c r="E65" s="0" t="s">
        <v>232</v>
      </c>
      <c r="F65" s="1" t="n">
        <v>7.75</v>
      </c>
      <c r="G65" s="1" t="n">
        <v>7.65</v>
      </c>
      <c r="H65" s="1" t="n">
        <f aca="false">-((G65*100/F65)-100)</f>
        <v>1.29032258064517</v>
      </c>
      <c r="I65" s="33" t="n">
        <v>1650</v>
      </c>
      <c r="J65" s="1" t="n">
        <f aca="false">(F65-G65)*I65</f>
        <v>164.999999999999</v>
      </c>
      <c r="K65" s="1" t="n">
        <f aca="false">G65*I65</f>
        <v>12622.5</v>
      </c>
      <c r="M65" s="23" t="n">
        <v>25692</v>
      </c>
      <c r="N65" s="3" t="s">
        <v>4</v>
      </c>
      <c r="O65" s="23" t="n">
        <v>25692</v>
      </c>
      <c r="P65" s="0" t="s">
        <v>26</v>
      </c>
      <c r="R65" s="10" t="n">
        <f aca="false">(O65-L65)/G65</f>
        <v>3358.43137254902</v>
      </c>
    </row>
    <row r="66" customFormat="false" ht="16.4" hidden="false" customHeight="false" outlineLevel="0" collapsed="false">
      <c r="A66" s="1" t="n">
        <v>6127</v>
      </c>
      <c r="B66" s="0" t="s">
        <v>231</v>
      </c>
      <c r="C66" s="0" t="s">
        <v>70</v>
      </c>
      <c r="D66" s="1" t="s">
        <v>37</v>
      </c>
      <c r="E66" s="0" t="s">
        <v>52</v>
      </c>
      <c r="F66" s="1" t="n">
        <v>3.39</v>
      </c>
      <c r="G66" s="1" t="n">
        <v>3.39</v>
      </c>
      <c r="H66" s="1" t="n">
        <f aca="false">-((G66*100/F66)-100)</f>
        <v>-0</v>
      </c>
      <c r="I66" s="33" t="n">
        <v>547</v>
      </c>
      <c r="J66" s="1" t="n">
        <f aca="false">(F66-G66)*I66</f>
        <v>0</v>
      </c>
      <c r="K66" s="1" t="n">
        <f aca="false">G66*I66</f>
        <v>1854.33</v>
      </c>
      <c r="M66" s="23" t="n">
        <v>6649</v>
      </c>
      <c r="N66" s="3" t="s">
        <v>4</v>
      </c>
      <c r="O66" s="23" t="n">
        <v>6649</v>
      </c>
      <c r="P66" s="0" t="s">
        <v>26</v>
      </c>
      <c r="R66" s="10" t="n">
        <f aca="false">(O66-L66)/G66</f>
        <v>1961.35693215339</v>
      </c>
    </row>
    <row r="67" customFormat="false" ht="15" hidden="false" customHeight="false" outlineLevel="0" collapsed="false">
      <c r="A67" s="1"/>
      <c r="D67" s="1"/>
      <c r="F67" s="1"/>
      <c r="G67" s="1"/>
      <c r="H67" s="1"/>
      <c r="I67" s="1"/>
      <c r="J67" s="1"/>
      <c r="K67" s="1" t="n">
        <f aca="false">G67*I67</f>
        <v>0</v>
      </c>
      <c r="M67" s="23"/>
      <c r="N67" s="3"/>
      <c r="O67" s="23"/>
      <c r="R67" s="10"/>
    </row>
    <row r="68" customFormat="false" ht="16.4" hidden="false" customHeight="false" outlineLevel="0" collapsed="false">
      <c r="A68" s="1" t="n">
        <v>6115</v>
      </c>
      <c r="B68" s="0" t="s">
        <v>216</v>
      </c>
      <c r="C68" s="0" t="s">
        <v>67</v>
      </c>
      <c r="D68" s="1" t="s">
        <v>24</v>
      </c>
      <c r="E68" s="0" t="s">
        <v>28</v>
      </c>
      <c r="F68" s="1" t="n">
        <v>4.04</v>
      </c>
      <c r="G68" s="1" t="n">
        <v>4.04</v>
      </c>
      <c r="H68" s="1" t="n">
        <f aca="false">-((G68*100/F68)-100)</f>
        <v>-0</v>
      </c>
      <c r="I68" s="33" t="n">
        <v>279</v>
      </c>
      <c r="J68" s="1" t="n">
        <f aca="false">(F68-G68)*I68</f>
        <v>0</v>
      </c>
      <c r="K68" s="1" t="n">
        <f aca="false">G68*I68</f>
        <v>1127.16</v>
      </c>
      <c r="M68" s="23" t="n">
        <v>4756</v>
      </c>
      <c r="N68" s="3" t="s">
        <v>4</v>
      </c>
      <c r="O68" s="23" t="n">
        <v>4756</v>
      </c>
      <c r="P68" s="0" t="s">
        <v>29</v>
      </c>
      <c r="R68" s="10" t="n">
        <f aca="false">(O68-L68)/G68</f>
        <v>1177.22772277228</v>
      </c>
    </row>
    <row r="69" customFormat="false" ht="16.4" hidden="false" customHeight="false" outlineLevel="0" collapsed="false">
      <c r="A69" s="1" t="n">
        <v>6144</v>
      </c>
      <c r="B69" s="0" t="s">
        <v>216</v>
      </c>
      <c r="C69" s="0" t="s">
        <v>51</v>
      </c>
      <c r="D69" s="1" t="s">
        <v>24</v>
      </c>
      <c r="E69" s="0" t="s">
        <v>25</v>
      </c>
      <c r="F69" s="1" t="n">
        <v>1.38</v>
      </c>
      <c r="G69" s="1" t="n">
        <v>1.38</v>
      </c>
      <c r="H69" s="1" t="n">
        <f aca="false">-((G69*100/F69)-100)</f>
        <v>-0</v>
      </c>
      <c r="I69" s="33" t="n">
        <v>279</v>
      </c>
      <c r="J69" s="1" t="n">
        <f aca="false">(F69-G69)*I69</f>
        <v>0</v>
      </c>
      <c r="K69" s="1" t="n">
        <f aca="false">G69*I69</f>
        <v>385.02</v>
      </c>
      <c r="M69" s="23" t="n">
        <v>1500</v>
      </c>
      <c r="N69" s="3" t="s">
        <v>4</v>
      </c>
      <c r="O69" s="23" t="n">
        <v>1500</v>
      </c>
      <c r="P69" s="0" t="s">
        <v>29</v>
      </c>
      <c r="R69" s="10" t="n">
        <f aca="false">(O69-L69)/G69</f>
        <v>1086.95652173913</v>
      </c>
    </row>
    <row r="70" customFormat="false" ht="15" hidden="false" customHeight="false" outlineLevel="0" collapsed="false">
      <c r="A70" s="1"/>
      <c r="D70" s="1"/>
      <c r="H70" s="1"/>
      <c r="J70" s="1"/>
      <c r="K70" s="1" t="n">
        <f aca="false">G70*I70</f>
        <v>0</v>
      </c>
      <c r="M70" s="23"/>
      <c r="N70" s="12"/>
      <c r="O70" s="23"/>
      <c r="R70" s="10"/>
    </row>
    <row r="71" customFormat="false" ht="16.4" hidden="false" customHeight="false" outlineLevel="0" collapsed="false">
      <c r="A71" s="1" t="n">
        <v>6141</v>
      </c>
      <c r="B71" s="0" t="s">
        <v>233</v>
      </c>
      <c r="C71" s="0" t="s">
        <v>234</v>
      </c>
      <c r="D71" s="1" t="s">
        <v>37</v>
      </c>
      <c r="E71" s="0" t="s">
        <v>52</v>
      </c>
      <c r="F71" s="1" t="n">
        <v>1.35</v>
      </c>
      <c r="G71" s="1" t="n">
        <v>1.35</v>
      </c>
      <c r="H71" s="1" t="n">
        <f aca="false">-((G71*100/F71)-100)</f>
        <v>-0</v>
      </c>
      <c r="I71" s="33" t="n">
        <v>547</v>
      </c>
      <c r="J71" s="1" t="n">
        <f aca="false">(F71-G71)*I71</f>
        <v>0</v>
      </c>
      <c r="K71" s="1" t="n">
        <f aca="false">G71*I71</f>
        <v>738.45</v>
      </c>
      <c r="M71" s="23" t="n">
        <v>2124</v>
      </c>
      <c r="N71" s="3" t="s">
        <v>4</v>
      </c>
      <c r="O71" s="23" t="n">
        <v>2124</v>
      </c>
      <c r="P71" s="0" t="s">
        <v>26</v>
      </c>
      <c r="R71" s="10" t="n">
        <f aca="false">(O71-L71)/G71</f>
        <v>1573.33333333333</v>
      </c>
    </row>
    <row r="72" customFormat="false" ht="16.4" hidden="false" customHeight="false" outlineLevel="0" collapsed="false">
      <c r="A72" s="1" t="n">
        <v>6142</v>
      </c>
      <c r="B72" s="0" t="s">
        <v>159</v>
      </c>
      <c r="C72" s="0" t="s">
        <v>235</v>
      </c>
      <c r="D72" s="1" t="s">
        <v>37</v>
      </c>
      <c r="E72" s="0" t="s">
        <v>38</v>
      </c>
      <c r="F72" s="1" t="n">
        <v>0.72</v>
      </c>
      <c r="G72" s="1" t="n">
        <v>0.72</v>
      </c>
      <c r="H72" s="1" t="n">
        <f aca="false">-((G72*100/F72)-100)</f>
        <v>-0</v>
      </c>
      <c r="I72" s="33" t="n">
        <v>450</v>
      </c>
      <c r="J72" s="1" t="n">
        <f aca="false">(F72-G72)*I72</f>
        <v>0</v>
      </c>
      <c r="K72" s="1" t="n">
        <f aca="false">G72*I72</f>
        <v>324</v>
      </c>
      <c r="M72" s="23" t="n">
        <v>1095</v>
      </c>
      <c r="N72" s="3" t="s">
        <v>4</v>
      </c>
      <c r="O72" s="23" t="n">
        <v>1095</v>
      </c>
      <c r="P72" s="0" t="s">
        <v>29</v>
      </c>
      <c r="R72" s="10" t="n">
        <f aca="false">(O72-L72)/G72</f>
        <v>1520.83333333333</v>
      </c>
    </row>
    <row r="73" customFormat="false" ht="15" hidden="false" customHeight="false" outlineLevel="0" collapsed="false">
      <c r="J73" s="1"/>
    </row>
    <row r="74" customFormat="false" ht="15" hidden="false" customHeight="false" outlineLevel="0" collapsed="false">
      <c r="J74" s="1"/>
    </row>
    <row r="75" customFormat="false" ht="15" hidden="false" customHeight="false" outlineLevel="0" collapsed="false">
      <c r="F75" s="1" t="n">
        <v>144.78</v>
      </c>
      <c r="G75" s="0" t="n">
        <f aca="false">SUM(G4:G74)</f>
        <v>127.28</v>
      </c>
      <c r="J75" s="1" t="n">
        <v>2193.68</v>
      </c>
      <c r="K75" s="0" t="n">
        <f aca="false">SUM(K4:K74)</f>
        <v>75211.73</v>
      </c>
      <c r="L75" s="0" t="n">
        <f aca="false">SUM(L4:L74)</f>
        <v>1658</v>
      </c>
      <c r="M75" s="23" t="n">
        <v>242109</v>
      </c>
    </row>
    <row r="76" customFormat="false" ht="15" hidden="false" customHeight="false" outlineLevel="0" collapsed="false">
      <c r="A76" s="1"/>
      <c r="D76" s="1"/>
      <c r="H76" s="1"/>
      <c r="J76" s="1"/>
      <c r="K76" s="1"/>
      <c r="M76" s="23"/>
      <c r="N76" s="1"/>
      <c r="O76" s="23"/>
      <c r="R76" s="10"/>
    </row>
    <row r="77" customFormat="false" ht="15" hidden="false" customHeight="false" outlineLevel="0" collapsed="false">
      <c r="A77" s="1"/>
      <c r="D77" s="1"/>
      <c r="H77" s="1"/>
      <c r="J77" s="1"/>
      <c r="K77" s="1"/>
      <c r="M77" s="23"/>
      <c r="N77" s="1"/>
      <c r="O77" s="23"/>
      <c r="R77" s="10"/>
    </row>
    <row r="78" customFormat="false" ht="15" hidden="false" customHeight="false" outlineLevel="0" collapsed="false">
      <c r="A78" s="1"/>
      <c r="D78" s="1"/>
      <c r="H78" s="1"/>
      <c r="J78" s="1"/>
      <c r="K78" s="1"/>
      <c r="M78" s="23"/>
      <c r="N78" s="1"/>
      <c r="O78" s="23"/>
      <c r="R78" s="10"/>
    </row>
    <row r="79" customFormat="false" ht="15" hidden="false" customHeight="false" outlineLevel="0" collapsed="false">
      <c r="A79" s="1"/>
      <c r="D79" s="1"/>
      <c r="G79" s="1"/>
      <c r="H79" s="1"/>
      <c r="I79" s="1"/>
      <c r="J79" s="1"/>
      <c r="K79" s="1"/>
      <c r="N79" s="1"/>
      <c r="O79" s="23"/>
      <c r="R79" s="10"/>
    </row>
    <row r="80" s="47" customFormat="true" ht="15" hidden="false" customHeight="false" outlineLevel="0" collapsed="false">
      <c r="A80" s="46"/>
      <c r="D80" s="46"/>
      <c r="F80" s="46"/>
      <c r="G80" s="46"/>
      <c r="H80" s="46"/>
      <c r="I80" s="46"/>
      <c r="J80" s="46"/>
      <c r="K80" s="46"/>
      <c r="M80" s="48"/>
      <c r="N80" s="46"/>
      <c r="O80" s="48"/>
      <c r="R80" s="49"/>
    </row>
    <row r="81" customFormat="false" ht="15" hidden="false" customHeight="false" outlineLevel="0" collapsed="false">
      <c r="A81" s="1"/>
      <c r="D81" s="1"/>
      <c r="F81" s="1"/>
      <c r="G81" s="1"/>
      <c r="H81" s="1"/>
      <c r="I81" s="1"/>
      <c r="J81" s="1"/>
      <c r="K81" s="1"/>
      <c r="M81" s="23"/>
      <c r="N81" s="1"/>
      <c r="O81" s="23"/>
      <c r="R81" s="10"/>
    </row>
    <row r="82" customFormat="false" ht="15" hidden="false" customHeight="false" outlineLevel="0" collapsed="false">
      <c r="A82" s="1"/>
      <c r="D82" s="1"/>
      <c r="F82" s="1"/>
      <c r="G82" s="1"/>
      <c r="H82" s="1"/>
      <c r="I82" s="1"/>
      <c r="J82" s="1"/>
      <c r="K82" s="1"/>
      <c r="M82" s="23"/>
      <c r="N82" s="1"/>
      <c r="O82" s="23"/>
      <c r="R82" s="10"/>
    </row>
    <row r="83" customFormat="false" ht="15" hidden="false" customHeight="false" outlineLevel="0" collapsed="false">
      <c r="A83" s="1"/>
      <c r="D83" s="1"/>
      <c r="F83" s="1"/>
      <c r="G83" s="1"/>
      <c r="H83" s="1"/>
      <c r="I83" s="1"/>
      <c r="J83" s="1"/>
      <c r="K83" s="1"/>
      <c r="M83" s="23"/>
      <c r="N83" s="12"/>
      <c r="O83" s="23"/>
      <c r="R83" s="10"/>
    </row>
    <row r="84" customFormat="false" ht="15" hidden="false" customHeight="false" outlineLevel="0" collapsed="false">
      <c r="A84" s="1"/>
      <c r="D84" s="1"/>
      <c r="F84" s="1"/>
      <c r="G84" s="1"/>
      <c r="H84" s="1"/>
      <c r="I84" s="1"/>
      <c r="J84" s="1"/>
      <c r="K84" s="1"/>
      <c r="M84" s="23"/>
      <c r="N84" s="1"/>
      <c r="O84" s="23"/>
      <c r="R84" s="10"/>
    </row>
    <row r="85" customFormat="false" ht="15" hidden="false" customHeight="false" outlineLevel="0" collapsed="false">
      <c r="A85" s="1"/>
      <c r="D85" s="1"/>
      <c r="F85" s="1"/>
      <c r="H85" s="1"/>
      <c r="J85" s="1"/>
      <c r="K85" s="1"/>
      <c r="M85" s="23"/>
      <c r="N85" s="12"/>
      <c r="O85" s="23"/>
      <c r="R85" s="10"/>
    </row>
    <row r="87" customFormat="false" ht="15" hidden="false" customHeight="false" outlineLevel="0" collapsed="false">
      <c r="A87" s="1"/>
      <c r="D87" s="1"/>
      <c r="F87" s="1"/>
      <c r="H87" s="1"/>
      <c r="I87" s="1"/>
      <c r="J87" s="1"/>
      <c r="K87" s="1"/>
      <c r="M87" s="23"/>
      <c r="N87" s="12"/>
      <c r="O87" s="23"/>
      <c r="R87" s="10"/>
    </row>
    <row r="88" customFormat="false" ht="15" hidden="false" customHeight="false" outlineLevel="0" collapsed="false">
      <c r="A88" s="1"/>
      <c r="D88" s="1"/>
      <c r="F88" s="1"/>
      <c r="G88" s="1"/>
      <c r="H88" s="1"/>
      <c r="I88" s="1"/>
      <c r="J88" s="1"/>
      <c r="K88" s="1"/>
      <c r="M88" s="23"/>
      <c r="N88" s="12"/>
      <c r="O88" s="23"/>
      <c r="R88" s="10"/>
    </row>
    <row r="89" customFormat="false" ht="15" hidden="false" customHeight="false" outlineLevel="0" collapsed="false">
      <c r="A89" s="1"/>
      <c r="D89" s="1"/>
      <c r="F89" s="1"/>
      <c r="G89" s="1"/>
      <c r="H89" s="1"/>
      <c r="I89" s="1"/>
      <c r="J89" s="1"/>
      <c r="K89" s="1"/>
      <c r="M89" s="23"/>
      <c r="N89" s="12"/>
      <c r="O89" s="23"/>
      <c r="R89" s="10"/>
    </row>
    <row r="90" customFormat="false" ht="15" hidden="false" customHeight="false" outlineLevel="0" collapsed="false">
      <c r="A90" s="1"/>
      <c r="D90" s="1"/>
      <c r="F90" s="1"/>
      <c r="H90" s="1"/>
      <c r="I90" s="1"/>
      <c r="J90" s="1"/>
      <c r="K90" s="1"/>
      <c r="M90" s="23"/>
      <c r="N90" s="12"/>
      <c r="O90" s="23"/>
      <c r="R90" s="10"/>
    </row>
    <row r="91" customFormat="false" ht="15" hidden="false" customHeight="false" outlineLevel="0" collapsed="false">
      <c r="A91" s="1"/>
      <c r="D91" s="1"/>
      <c r="F91" s="1"/>
      <c r="H91" s="1"/>
      <c r="I91" s="1"/>
      <c r="J91" s="1"/>
      <c r="K91" s="1"/>
      <c r="M91" s="23"/>
      <c r="N91" s="12"/>
      <c r="O91" s="23"/>
      <c r="R91" s="10"/>
    </row>
    <row r="93" customFormat="false" ht="15" hidden="false" customHeight="false" outlineLevel="0" collapsed="false">
      <c r="A93" s="1"/>
      <c r="D93" s="1"/>
      <c r="F93" s="1"/>
      <c r="G93" s="1"/>
      <c r="H93" s="1"/>
      <c r="I93" s="1"/>
      <c r="J93" s="1"/>
      <c r="K93" s="1"/>
      <c r="M93" s="23"/>
      <c r="N93" s="12"/>
      <c r="O93" s="23"/>
      <c r="R93" s="10"/>
    </row>
    <row r="94" customFormat="false" ht="15" hidden="false" customHeight="false" outlineLevel="0" collapsed="false">
      <c r="A94" s="1"/>
      <c r="D94" s="1"/>
      <c r="F94" s="1"/>
      <c r="H94" s="1"/>
      <c r="J94" s="1"/>
      <c r="K94" s="1"/>
      <c r="M94" s="23"/>
      <c r="N94" s="1"/>
      <c r="O94" s="23"/>
      <c r="R94" s="10"/>
    </row>
    <row r="95" customFormat="false" ht="15" hidden="false" customHeight="false" outlineLevel="0" collapsed="false">
      <c r="A95" s="1"/>
      <c r="D95" s="1"/>
      <c r="F95" s="1"/>
      <c r="H95" s="1"/>
      <c r="J95" s="1"/>
      <c r="K95" s="1"/>
      <c r="M95" s="23"/>
      <c r="N95" s="12"/>
      <c r="O95" s="23"/>
      <c r="R95" s="10"/>
    </row>
    <row r="96" customFormat="false" ht="15" hidden="false" customHeight="false" outlineLevel="0" collapsed="false">
      <c r="A96" s="1"/>
      <c r="D96" s="1"/>
      <c r="F96" s="1"/>
      <c r="H96" s="1"/>
      <c r="J96" s="1"/>
      <c r="K96" s="1"/>
      <c r="M96" s="23"/>
      <c r="N96" s="1"/>
      <c r="O96" s="23"/>
      <c r="R96" s="10"/>
    </row>
    <row r="97" customFormat="false" ht="15" hidden="false" customHeight="false" outlineLevel="0" collapsed="false">
      <c r="A97" s="1"/>
      <c r="D97" s="1"/>
      <c r="F97" s="1"/>
      <c r="H97" s="1"/>
      <c r="J97" s="1"/>
      <c r="K97" s="1"/>
      <c r="M97" s="23"/>
      <c r="N97" s="1"/>
      <c r="O97" s="23"/>
      <c r="R97" s="10"/>
    </row>
    <row r="98" customFormat="false" ht="15" hidden="false" customHeight="false" outlineLevel="0" collapsed="false">
      <c r="A98" s="1"/>
      <c r="D98" s="1"/>
      <c r="F98" s="1"/>
      <c r="G98" s="1"/>
      <c r="H98" s="1"/>
      <c r="I98" s="1"/>
      <c r="J98" s="1"/>
      <c r="K98" s="1"/>
      <c r="M98" s="23"/>
      <c r="N98" s="1"/>
      <c r="O98" s="23"/>
      <c r="R98" s="10"/>
    </row>
    <row r="101" customFormat="false" ht="15" hidden="false" customHeight="false" outlineLevel="0" collapsed="false">
      <c r="F101" s="1"/>
      <c r="G101" s="1"/>
      <c r="I101" s="1"/>
      <c r="J101" s="1"/>
      <c r="K101" s="1"/>
      <c r="M101" s="23"/>
      <c r="O101" s="23"/>
    </row>
    <row r="102" customFormat="false" ht="15" hidden="false" customHeight="false" outlineLevel="0" collapsed="false">
      <c r="F102" s="1"/>
      <c r="G102" s="1"/>
      <c r="I102" s="1"/>
      <c r="J102" s="1"/>
      <c r="K102" s="1"/>
      <c r="M102" s="23"/>
      <c r="O102" s="23"/>
    </row>
    <row r="103" customFormat="false" ht="15" hidden="false" customHeight="false" outlineLevel="0" collapsed="false">
      <c r="F103" s="1"/>
      <c r="G103" s="1"/>
      <c r="I103" s="1"/>
      <c r="J103" s="1"/>
      <c r="K103" s="1"/>
      <c r="M103" s="23"/>
      <c r="O103" s="23"/>
    </row>
    <row r="104" customFormat="false" ht="15" hidden="false" customHeight="false" outlineLevel="0" collapsed="false">
      <c r="F104" s="1"/>
      <c r="G104" s="1"/>
      <c r="I104" s="1"/>
      <c r="J104" s="1"/>
      <c r="K104" s="1"/>
      <c r="M104" s="23"/>
      <c r="O104" s="23"/>
    </row>
    <row r="106" customFormat="false" ht="15" hidden="false" customHeight="false" outlineLevel="0" collapsed="false">
      <c r="A106" s="1"/>
      <c r="D106" s="1"/>
      <c r="F106" s="1"/>
      <c r="G106" s="1"/>
      <c r="H106" s="1"/>
      <c r="I106" s="33"/>
      <c r="J106" s="1"/>
      <c r="K106" s="1"/>
      <c r="L106" s="10"/>
      <c r="M106" s="32"/>
      <c r="N106" s="1"/>
      <c r="O106" s="35"/>
      <c r="R106" s="10"/>
    </row>
    <row r="107" customFormat="false" ht="15" hidden="false" customHeight="false" outlineLevel="0" collapsed="false">
      <c r="A107" s="1"/>
      <c r="D107" s="1"/>
      <c r="F107" s="1"/>
      <c r="G107" s="1"/>
      <c r="H107" s="1"/>
      <c r="I107" s="1"/>
      <c r="J107" s="1"/>
      <c r="K107" s="1"/>
      <c r="L107" s="32"/>
      <c r="M107" s="32"/>
      <c r="N107" s="1"/>
      <c r="O107" s="35"/>
      <c r="R107" s="10"/>
    </row>
    <row r="108" customFormat="false" ht="15" hidden="false" customHeight="false" outlineLevel="0" collapsed="false">
      <c r="A108" s="1"/>
      <c r="D108" s="1"/>
      <c r="F108" s="1"/>
      <c r="G108" s="1"/>
      <c r="H108" s="1"/>
      <c r="J108" s="1"/>
      <c r="K108" s="1"/>
      <c r="M108" s="23"/>
      <c r="N108" s="1"/>
      <c r="O108" s="23"/>
      <c r="R108" s="10"/>
    </row>
    <row r="109" customFormat="false" ht="15" hidden="false" customHeight="false" outlineLevel="0" collapsed="false">
      <c r="A109" s="1"/>
      <c r="D109" s="1"/>
      <c r="F109" s="1"/>
      <c r="G109" s="1"/>
      <c r="H109" s="1"/>
      <c r="I109" s="33"/>
      <c r="J109" s="1"/>
      <c r="K109" s="1"/>
      <c r="M109" s="23"/>
      <c r="N109" s="1"/>
      <c r="O109" s="23"/>
      <c r="R109" s="10"/>
    </row>
    <row r="111" customFormat="false" ht="15" hidden="false" customHeight="false" outlineLevel="0" collapsed="false">
      <c r="A111" s="1"/>
      <c r="D111" s="1"/>
      <c r="F111" s="1"/>
      <c r="G111" s="1"/>
      <c r="H111" s="1"/>
      <c r="I111" s="33"/>
      <c r="J111" s="1"/>
      <c r="K111" s="1"/>
      <c r="M111" s="23"/>
      <c r="N111" s="1"/>
      <c r="O111" s="23"/>
      <c r="R111" s="10"/>
    </row>
    <row r="112" customFormat="false" ht="15" hidden="false" customHeight="false" outlineLevel="0" collapsed="false">
      <c r="A112" s="1"/>
      <c r="D112" s="1"/>
      <c r="F112" s="1"/>
      <c r="G112" s="1"/>
      <c r="H112" s="1"/>
      <c r="I112" s="33"/>
      <c r="J112" s="1"/>
      <c r="K112" s="1"/>
      <c r="M112" s="23"/>
      <c r="N112" s="1"/>
      <c r="O112" s="23"/>
      <c r="R112" s="10"/>
    </row>
    <row r="113" customFormat="false" ht="15" hidden="false" customHeight="false" outlineLevel="0" collapsed="false">
      <c r="A113" s="1"/>
      <c r="D113" s="1"/>
      <c r="F113" s="1"/>
      <c r="G113" s="1"/>
      <c r="H113" s="1"/>
      <c r="I113" s="33"/>
      <c r="J113" s="1"/>
      <c r="K113" s="1"/>
      <c r="M113" s="23"/>
      <c r="N113" s="1"/>
      <c r="O113" s="23"/>
      <c r="R113" s="10"/>
    </row>
    <row r="114" customFormat="false" ht="15" hidden="false" customHeight="false" outlineLevel="0" collapsed="false">
      <c r="A114" s="1"/>
      <c r="D114" s="1"/>
      <c r="F114" s="1"/>
      <c r="G114" s="1"/>
      <c r="H114" s="1"/>
      <c r="I114" s="33"/>
      <c r="J114" s="1"/>
      <c r="K114" s="1"/>
      <c r="M114" s="23"/>
      <c r="N114" s="1"/>
      <c r="O114" s="23"/>
      <c r="R114" s="10"/>
    </row>
    <row r="116" customFormat="false" ht="15" hidden="false" customHeight="false" outlineLevel="0" collapsed="false">
      <c r="A116" s="1"/>
      <c r="D116" s="1"/>
      <c r="F116" s="1"/>
      <c r="G116" s="1"/>
      <c r="H116" s="1"/>
      <c r="I116" s="33"/>
      <c r="J116" s="1"/>
      <c r="K116" s="1"/>
      <c r="M116" s="23"/>
      <c r="N116" s="1"/>
      <c r="O116" s="23"/>
      <c r="R116" s="10"/>
    </row>
    <row r="117" customFormat="false" ht="15" hidden="false" customHeight="false" outlineLevel="0" collapsed="false">
      <c r="A117" s="1"/>
      <c r="F117" s="1"/>
      <c r="G117" s="1"/>
      <c r="H117" s="1"/>
      <c r="J117" s="1"/>
      <c r="K117" s="1"/>
      <c r="L117" s="23"/>
      <c r="M117" s="23"/>
      <c r="N117" s="1"/>
      <c r="O117" s="23"/>
      <c r="R117" s="10"/>
    </row>
    <row r="118" customFormat="false" ht="15" hidden="false" customHeight="false" outlineLevel="0" collapsed="false">
      <c r="A118" s="1"/>
      <c r="D118" s="1"/>
      <c r="F118" s="1"/>
      <c r="G118" s="1"/>
      <c r="H118" s="1"/>
      <c r="I118" s="33"/>
      <c r="J118" s="1"/>
      <c r="K118" s="1"/>
      <c r="M118" s="23"/>
      <c r="N118" s="1"/>
      <c r="O118" s="23"/>
      <c r="R118" s="10"/>
    </row>
    <row r="119" customFormat="false" ht="15" hidden="false" customHeight="false" outlineLevel="0" collapsed="false">
      <c r="F119" s="1"/>
      <c r="G119" s="1"/>
      <c r="J119" s="1"/>
      <c r="K119" s="1"/>
    </row>
    <row r="120" customFormat="false" ht="15" hidden="false" customHeight="false" outlineLevel="0" collapsed="false">
      <c r="A120" s="1"/>
      <c r="D120" s="1"/>
      <c r="F120" s="1"/>
      <c r="G120" s="1"/>
      <c r="H120" s="1"/>
      <c r="I120" s="33"/>
      <c r="J120" s="1"/>
      <c r="K120" s="1"/>
      <c r="M120" s="23"/>
      <c r="N120" s="1"/>
      <c r="O120" s="23"/>
      <c r="R120" s="10"/>
    </row>
    <row r="121" customFormat="false" ht="15" hidden="false" customHeight="false" outlineLevel="0" collapsed="false">
      <c r="A121" s="1"/>
      <c r="D121" s="1"/>
      <c r="F121" s="1"/>
      <c r="G121" s="1"/>
      <c r="H121" s="1"/>
      <c r="I121" s="1"/>
      <c r="J121" s="1"/>
      <c r="K121" s="1"/>
      <c r="M121" s="23"/>
      <c r="N121" s="1"/>
      <c r="O121" s="23"/>
      <c r="R121" s="10"/>
    </row>
    <row r="122" customFormat="false" ht="15" hidden="false" customHeight="false" outlineLevel="0" collapsed="false">
      <c r="A122" s="1"/>
      <c r="D122" s="1"/>
      <c r="F122" s="1"/>
      <c r="G122" s="1"/>
      <c r="H122" s="1"/>
      <c r="I122" s="33"/>
      <c r="J122" s="1"/>
      <c r="K122" s="1"/>
      <c r="M122" s="23"/>
      <c r="N122" s="1"/>
      <c r="O122" s="23"/>
      <c r="P122" s="1"/>
      <c r="R122" s="10"/>
    </row>
    <row r="123" customFormat="false" ht="15" hidden="false" customHeight="false" outlineLevel="0" collapsed="false">
      <c r="A123" s="1"/>
      <c r="D123" s="1"/>
      <c r="F123" s="1"/>
      <c r="G123" s="1"/>
      <c r="H123" s="1"/>
      <c r="J123" s="1"/>
      <c r="K123" s="1"/>
      <c r="M123" s="23"/>
      <c r="N123" s="1"/>
      <c r="O123" s="23"/>
      <c r="R123" s="10"/>
    </row>
    <row r="124" customFormat="false" ht="15" hidden="false" customHeight="false" outlineLevel="0" collapsed="false">
      <c r="A124" s="1"/>
      <c r="D124" s="1"/>
      <c r="F124" s="1"/>
      <c r="G124" s="1"/>
      <c r="H124" s="1"/>
      <c r="J124" s="1"/>
      <c r="K124" s="1"/>
      <c r="M124" s="23"/>
      <c r="N124" s="1"/>
      <c r="O124" s="23"/>
      <c r="R124" s="10"/>
    </row>
    <row r="125" customFormat="false" ht="15" hidden="false" customHeight="false" outlineLevel="0" collapsed="false">
      <c r="A125" s="1"/>
      <c r="D125" s="1"/>
      <c r="F125" s="1"/>
      <c r="G125" s="1"/>
      <c r="H125" s="1"/>
      <c r="I125" s="33"/>
      <c r="J125" s="1"/>
      <c r="K125" s="1"/>
      <c r="M125" s="23"/>
      <c r="N125" s="1"/>
      <c r="O125" s="23"/>
      <c r="R125" s="10"/>
    </row>
    <row r="126" customFormat="false" ht="15" hidden="false" customHeight="false" outlineLevel="0" collapsed="false">
      <c r="A126" s="1"/>
      <c r="D126" s="1"/>
      <c r="F126" s="1"/>
      <c r="G126" s="1"/>
      <c r="H126" s="1"/>
      <c r="J126" s="1"/>
      <c r="K126" s="1"/>
      <c r="M126" s="23"/>
      <c r="N126" s="1"/>
      <c r="O126" s="23"/>
      <c r="R126" s="10"/>
    </row>
    <row r="127" customFormat="false" ht="15" hidden="false" customHeight="false" outlineLevel="0" collapsed="false">
      <c r="A127" s="1"/>
      <c r="D127" s="1"/>
      <c r="F127" s="1"/>
      <c r="G127" s="1"/>
      <c r="H127" s="1"/>
      <c r="I127" s="33"/>
      <c r="J127" s="1"/>
      <c r="K127" s="1"/>
      <c r="M127" s="23"/>
      <c r="N127" s="1"/>
      <c r="O127" s="23"/>
      <c r="R127" s="10"/>
    </row>
    <row r="128" customFormat="false" ht="15" hidden="false" customHeight="false" outlineLevel="0" collapsed="false">
      <c r="A128" s="1"/>
      <c r="D128" s="1"/>
      <c r="F128" s="1"/>
      <c r="G128" s="1"/>
      <c r="H128" s="1"/>
      <c r="I128" s="33"/>
      <c r="J128" s="1"/>
      <c r="K128" s="1"/>
      <c r="M128" s="23"/>
      <c r="N128" s="1"/>
      <c r="O128" s="23"/>
      <c r="R128" s="10"/>
    </row>
    <row r="129" customFormat="false" ht="15" hidden="false" customHeight="false" outlineLevel="0" collapsed="false">
      <c r="F129" s="1"/>
      <c r="G129" s="1"/>
      <c r="J129" s="1"/>
      <c r="K129" s="1"/>
    </row>
    <row r="130" customFormat="false" ht="15" hidden="false" customHeight="false" outlineLevel="0" collapsed="false">
      <c r="A130" s="1"/>
      <c r="D130" s="1"/>
      <c r="F130" s="1"/>
      <c r="G130" s="1"/>
      <c r="H130" s="1"/>
      <c r="J130" s="1"/>
      <c r="K130" s="1"/>
      <c r="M130" s="23"/>
      <c r="N130" s="1"/>
      <c r="O130" s="23"/>
      <c r="R130" s="10"/>
    </row>
    <row r="131" customFormat="false" ht="15" hidden="false" customHeight="false" outlineLevel="0" collapsed="false">
      <c r="A131" s="1"/>
      <c r="D131" s="1"/>
      <c r="F131" s="1"/>
      <c r="G131" s="1"/>
      <c r="H131" s="1"/>
      <c r="I131" s="33"/>
      <c r="J131" s="1"/>
      <c r="K131" s="1"/>
      <c r="M131" s="23"/>
      <c r="N131" s="1"/>
      <c r="O131" s="23"/>
      <c r="R131" s="10"/>
    </row>
    <row r="132" customFormat="false" ht="15" hidden="false" customHeight="false" outlineLevel="0" collapsed="false">
      <c r="F132" s="1"/>
      <c r="G132" s="1"/>
      <c r="J132" s="1"/>
      <c r="K132" s="1"/>
    </row>
    <row r="133" customFormat="false" ht="15" hidden="false" customHeight="false" outlineLevel="0" collapsed="false">
      <c r="A133" s="1"/>
      <c r="D133" s="1"/>
      <c r="F133" s="1"/>
      <c r="G133" s="1"/>
      <c r="H133" s="1"/>
      <c r="I133" s="33"/>
      <c r="J133" s="1"/>
      <c r="K133" s="1"/>
      <c r="M133" s="23"/>
      <c r="N133" s="1"/>
      <c r="O133" s="23"/>
      <c r="R133" s="10"/>
    </row>
    <row r="134" customFormat="false" ht="15" hidden="false" customHeight="false" outlineLevel="0" collapsed="false">
      <c r="A134" s="1"/>
      <c r="D134" s="1"/>
      <c r="F134" s="1"/>
      <c r="G134" s="1"/>
      <c r="H134" s="1"/>
      <c r="J134" s="1"/>
      <c r="K134" s="1"/>
      <c r="M134" s="23"/>
      <c r="N134" s="1"/>
      <c r="O134" s="23"/>
      <c r="R134" s="10"/>
    </row>
    <row r="135" customFormat="false" ht="15" hidden="false" customHeight="false" outlineLevel="0" collapsed="false">
      <c r="A135" s="1"/>
      <c r="D135" s="1"/>
      <c r="F135" s="1"/>
      <c r="G135" s="1"/>
      <c r="H135" s="1"/>
      <c r="I135" s="33"/>
      <c r="J135" s="1"/>
      <c r="K135" s="1"/>
      <c r="M135" s="23"/>
      <c r="N135" s="1"/>
      <c r="O135" s="23"/>
      <c r="P135" s="1"/>
      <c r="R135" s="10"/>
    </row>
    <row r="136" customFormat="false" ht="15" hidden="false" customHeight="false" outlineLevel="0" collapsed="false">
      <c r="A136" s="1"/>
      <c r="D136" s="1"/>
      <c r="F136" s="1"/>
      <c r="G136" s="1"/>
      <c r="H136" s="1"/>
      <c r="J136" s="1"/>
      <c r="K136" s="1"/>
      <c r="M136" s="23"/>
      <c r="N136" s="1"/>
      <c r="O136" s="23"/>
      <c r="R136" s="10"/>
    </row>
    <row r="137" customFormat="false" ht="15" hidden="false" customHeight="false" outlineLevel="0" collapsed="false">
      <c r="A137" s="1"/>
      <c r="D137" s="1"/>
      <c r="F137" s="1"/>
      <c r="G137" s="1"/>
      <c r="H137" s="1"/>
      <c r="I137" s="33"/>
      <c r="J137" s="1"/>
      <c r="K137" s="1"/>
      <c r="M137" s="23"/>
      <c r="N137" s="1"/>
      <c r="O137" s="23"/>
      <c r="R137" s="10"/>
    </row>
    <row r="138" customFormat="false" ht="15" hidden="false" customHeight="false" outlineLevel="0" collapsed="false">
      <c r="A138" s="1"/>
      <c r="D138" s="1"/>
      <c r="F138" s="1"/>
      <c r="G138" s="1"/>
      <c r="H138" s="1"/>
      <c r="J138" s="1"/>
      <c r="K138" s="1"/>
      <c r="M138" s="23"/>
      <c r="N138" s="1"/>
      <c r="O138" s="23"/>
      <c r="R138" s="10"/>
    </row>
    <row r="139" customFormat="false" ht="15" hidden="false" customHeight="false" outlineLevel="0" collapsed="false">
      <c r="A139" s="1"/>
      <c r="D139" s="1"/>
      <c r="F139" s="1"/>
      <c r="G139" s="1"/>
      <c r="H139" s="1"/>
      <c r="J139" s="1"/>
      <c r="K139" s="1"/>
      <c r="M139" s="23"/>
      <c r="N139" s="1"/>
      <c r="O139" s="23"/>
      <c r="R139" s="10"/>
    </row>
    <row r="140" customFormat="false" ht="15" hidden="false" customHeight="false" outlineLevel="0" collapsed="false">
      <c r="A140" s="1"/>
      <c r="D140" s="1"/>
      <c r="F140" s="1"/>
      <c r="G140" s="1"/>
      <c r="H140" s="1"/>
      <c r="J140" s="1"/>
      <c r="K140" s="1"/>
      <c r="M140" s="23"/>
      <c r="N140" s="1"/>
      <c r="O140" s="23"/>
      <c r="R140" s="10"/>
    </row>
    <row r="141" customFormat="false" ht="15" hidden="false" customHeight="false" outlineLevel="0" collapsed="false">
      <c r="A141" s="1"/>
      <c r="D141" s="1"/>
      <c r="F141" s="1"/>
      <c r="G141" s="1"/>
      <c r="H141" s="1"/>
      <c r="J141" s="1"/>
      <c r="K141" s="1"/>
      <c r="M141" s="23"/>
      <c r="N141" s="1"/>
      <c r="O141" s="23"/>
      <c r="R141" s="10"/>
    </row>
    <row r="142" customFormat="false" ht="15" hidden="false" customHeight="false" outlineLevel="0" collapsed="false">
      <c r="A142" s="1"/>
      <c r="D142" s="1"/>
      <c r="F142" s="1"/>
      <c r="G142" s="1"/>
      <c r="H142" s="1"/>
      <c r="J142" s="1"/>
      <c r="K142" s="1"/>
      <c r="M142" s="23"/>
      <c r="N142" s="1"/>
      <c r="O142" s="23"/>
      <c r="R142" s="10"/>
    </row>
    <row r="143" customFormat="false" ht="15" hidden="false" customHeight="false" outlineLevel="0" collapsed="false">
      <c r="A143" s="1"/>
      <c r="D143" s="1"/>
      <c r="F143" s="1"/>
      <c r="G143" s="1"/>
      <c r="H143" s="1"/>
      <c r="J143" s="1"/>
      <c r="K143" s="1"/>
      <c r="M143" s="23"/>
      <c r="N143" s="1"/>
      <c r="O143" s="23"/>
      <c r="R143" s="10"/>
    </row>
    <row r="144" customFormat="false" ht="15" hidden="false" customHeight="false" outlineLevel="0" collapsed="false">
      <c r="A144" s="1"/>
      <c r="D144" s="1"/>
      <c r="F144" s="1"/>
      <c r="G144" s="1"/>
      <c r="H144" s="1"/>
      <c r="J144" s="1"/>
      <c r="K144" s="1"/>
      <c r="M144" s="23"/>
      <c r="N144" s="1"/>
      <c r="O144" s="23"/>
      <c r="R144" s="10"/>
    </row>
    <row r="145" customFormat="false" ht="15" hidden="false" customHeight="false" outlineLevel="0" collapsed="false">
      <c r="A145" s="1"/>
      <c r="D145" s="1"/>
      <c r="F145" s="1"/>
      <c r="G145" s="1"/>
      <c r="H145" s="1"/>
      <c r="J145" s="1"/>
      <c r="K145" s="1"/>
      <c r="M145" s="23"/>
      <c r="N145" s="1"/>
      <c r="O145" s="23"/>
      <c r="R145" s="10"/>
    </row>
    <row r="146" customFormat="false" ht="15" hidden="false" customHeight="false" outlineLevel="0" collapsed="false">
      <c r="A146" s="1"/>
      <c r="D146" s="1"/>
      <c r="H146" s="1"/>
      <c r="J146" s="1"/>
      <c r="K146" s="1"/>
      <c r="N146" s="1"/>
      <c r="R146" s="10"/>
    </row>
    <row r="147" customFormat="false" ht="15" hidden="false" customHeight="false" outlineLevel="0" collapsed="false">
      <c r="A147" s="1"/>
      <c r="D147" s="1"/>
      <c r="F147" s="1"/>
      <c r="H147" s="1"/>
      <c r="J147" s="1"/>
      <c r="K147" s="1"/>
      <c r="M147" s="23"/>
      <c r="N147" s="1"/>
      <c r="O147" s="23"/>
      <c r="R147" s="10"/>
    </row>
    <row r="148" customFormat="false" ht="15" hidden="false" customHeight="false" outlineLevel="0" collapsed="false">
      <c r="A148" s="1"/>
      <c r="D148" s="1"/>
      <c r="F148" s="1"/>
      <c r="H148" s="1"/>
      <c r="J148" s="1"/>
      <c r="K148" s="1"/>
      <c r="M148" s="23"/>
      <c r="N148" s="1"/>
      <c r="O148" s="23"/>
      <c r="R148" s="10"/>
    </row>
    <row r="149" customFormat="false" ht="15" hidden="false" customHeight="false" outlineLevel="0" collapsed="false">
      <c r="A149" s="1"/>
      <c r="D149" s="1"/>
      <c r="F149" s="1"/>
      <c r="H149" s="1"/>
      <c r="J149" s="1"/>
      <c r="K149" s="1"/>
      <c r="M149" s="23"/>
      <c r="N149" s="1"/>
      <c r="O149" s="23"/>
      <c r="R149" s="10"/>
    </row>
    <row r="150" customFormat="false" ht="15" hidden="false" customHeight="false" outlineLevel="0" collapsed="false">
      <c r="A150" s="1"/>
      <c r="D150" s="1"/>
      <c r="F150" s="1"/>
      <c r="H150" s="1"/>
      <c r="J150" s="1"/>
      <c r="K150" s="1"/>
      <c r="M150" s="23"/>
      <c r="N150" s="1"/>
      <c r="O150" s="23"/>
      <c r="R150" s="10"/>
    </row>
    <row r="151" customFormat="false" ht="15" hidden="false" customHeight="false" outlineLevel="0" collapsed="false">
      <c r="A151" s="1"/>
      <c r="D151" s="1"/>
      <c r="F151" s="1"/>
      <c r="H151" s="1"/>
      <c r="J151" s="1"/>
      <c r="K151" s="1"/>
      <c r="M151" s="23"/>
      <c r="N151" s="1"/>
      <c r="O151" s="23"/>
      <c r="R151" s="10"/>
    </row>
    <row r="152" customFormat="false" ht="15" hidden="false" customHeight="false" outlineLevel="0" collapsed="false">
      <c r="A152" s="1"/>
      <c r="D152" s="1"/>
      <c r="F152" s="1"/>
      <c r="H152" s="1"/>
      <c r="J152" s="1"/>
      <c r="K152" s="1"/>
      <c r="M152" s="23"/>
      <c r="N152" s="1"/>
      <c r="O152" s="23"/>
      <c r="R152" s="10"/>
    </row>
    <row r="153" customFormat="false" ht="15" hidden="false" customHeight="false" outlineLevel="0" collapsed="false">
      <c r="A153" s="1"/>
      <c r="D153" s="1"/>
      <c r="F153" s="1"/>
      <c r="H153" s="1"/>
      <c r="J153" s="1"/>
      <c r="K153" s="1"/>
      <c r="M153" s="23"/>
      <c r="N153" s="1"/>
      <c r="O153" s="23"/>
      <c r="R153" s="10"/>
    </row>
    <row r="154" customFormat="false" ht="15" hidden="false" customHeight="false" outlineLevel="0" collapsed="false">
      <c r="A154" s="1"/>
      <c r="D154" s="1"/>
      <c r="H154" s="1"/>
      <c r="J154" s="1"/>
      <c r="K154" s="1"/>
      <c r="M154" s="23"/>
      <c r="N154" s="1"/>
      <c r="O154" s="23"/>
      <c r="R154" s="10"/>
    </row>
    <row r="155" customFormat="false" ht="15" hidden="false" customHeight="false" outlineLevel="0" collapsed="false">
      <c r="A155" s="1"/>
      <c r="D155" s="1"/>
      <c r="F155" s="1"/>
      <c r="H155" s="1"/>
      <c r="J155" s="1"/>
      <c r="K155" s="1"/>
      <c r="M155" s="23"/>
      <c r="N155" s="1"/>
      <c r="O155" s="23"/>
      <c r="R155" s="10"/>
    </row>
    <row r="156" customFormat="false" ht="15" hidden="false" customHeight="false" outlineLevel="0" collapsed="false">
      <c r="A156" s="1"/>
      <c r="D156" s="1"/>
      <c r="F156" s="1"/>
      <c r="H156" s="1"/>
      <c r="J156" s="1"/>
      <c r="K156" s="1"/>
      <c r="M156" s="23"/>
      <c r="N156" s="1"/>
      <c r="O156" s="23"/>
      <c r="R156" s="10"/>
    </row>
    <row r="157" customFormat="false" ht="15" hidden="false" customHeight="false" outlineLevel="0" collapsed="false">
      <c r="A157" s="1"/>
      <c r="D157" s="1"/>
      <c r="F157" s="1"/>
      <c r="H157" s="1"/>
      <c r="J157" s="1"/>
      <c r="K157" s="1"/>
      <c r="M157" s="23"/>
      <c r="N157" s="1"/>
      <c r="O157" s="23"/>
      <c r="R157" s="10"/>
    </row>
    <row r="158" customFormat="false" ht="15" hidden="false" customHeight="false" outlineLevel="0" collapsed="false">
      <c r="A158" s="1"/>
      <c r="D158" s="1"/>
      <c r="F158" s="1"/>
      <c r="H158" s="1"/>
      <c r="J158" s="1"/>
      <c r="K158" s="1"/>
      <c r="M158" s="23"/>
      <c r="N158" s="1"/>
      <c r="O158" s="23"/>
      <c r="R158" s="10"/>
    </row>
    <row r="159" customFormat="false" ht="15" hidden="false" customHeight="false" outlineLevel="0" collapsed="false">
      <c r="A159" s="1"/>
      <c r="D159" s="1"/>
      <c r="F159" s="1"/>
      <c r="H159" s="1"/>
      <c r="J159" s="1"/>
      <c r="K159" s="1"/>
      <c r="M159" s="23"/>
      <c r="N159" s="1"/>
      <c r="O159" s="23"/>
      <c r="R159" s="10"/>
    </row>
    <row r="160" customFormat="false" ht="15" hidden="false" customHeight="false" outlineLevel="0" collapsed="false">
      <c r="A160" s="1"/>
      <c r="D160" s="1"/>
      <c r="F160" s="1"/>
      <c r="H160" s="1"/>
      <c r="J160" s="1"/>
      <c r="K160" s="1"/>
      <c r="M160" s="23"/>
      <c r="N160" s="1"/>
      <c r="O160" s="23"/>
      <c r="R160" s="10"/>
    </row>
    <row r="161" customFormat="false" ht="15" hidden="false" customHeight="false" outlineLevel="0" collapsed="false">
      <c r="A161" s="1"/>
      <c r="D161" s="1"/>
      <c r="F161" s="1"/>
      <c r="H161" s="1"/>
      <c r="J161" s="1"/>
      <c r="K161" s="1"/>
      <c r="M161" s="23"/>
      <c r="N161" s="1"/>
      <c r="O161" s="23"/>
      <c r="R161" s="10"/>
    </row>
    <row r="162" customFormat="false" ht="15" hidden="false" customHeight="false" outlineLevel="0" collapsed="false">
      <c r="A162" s="1"/>
      <c r="D162" s="1"/>
      <c r="F162" s="1"/>
      <c r="H162" s="1"/>
      <c r="J162" s="1"/>
      <c r="K162" s="1"/>
      <c r="M162" s="23"/>
      <c r="N162" s="1"/>
      <c r="O162" s="23"/>
      <c r="R162" s="10"/>
    </row>
    <row r="163" customFormat="false" ht="15" hidden="false" customHeight="false" outlineLevel="0" collapsed="false">
      <c r="H163" s="1"/>
      <c r="J163" s="1"/>
      <c r="K163" s="1"/>
      <c r="N163" s="1"/>
      <c r="R163" s="10"/>
    </row>
    <row r="164" customFormat="false" ht="15" hidden="false" customHeight="false" outlineLevel="0" collapsed="false">
      <c r="H164" s="1"/>
      <c r="J164" s="1"/>
      <c r="K164" s="1"/>
      <c r="N164" s="1"/>
      <c r="R164" s="10"/>
    </row>
    <row r="165" customFormat="false" ht="15" hidden="false" customHeight="false" outlineLevel="0" collapsed="false">
      <c r="H165" s="1"/>
      <c r="J165" s="1"/>
      <c r="K165" s="1"/>
      <c r="N165" s="1"/>
      <c r="R165" s="10"/>
    </row>
    <row r="166" customFormat="false" ht="15" hidden="false" customHeight="false" outlineLevel="0" collapsed="false">
      <c r="H166" s="1"/>
      <c r="J166" s="1"/>
      <c r="K166" s="1"/>
      <c r="N166" s="1"/>
      <c r="R166" s="10"/>
    </row>
    <row r="167" customFormat="false" ht="15" hidden="false" customHeight="false" outlineLevel="0" collapsed="false">
      <c r="H167" s="1"/>
      <c r="J167" s="1"/>
      <c r="K167" s="1"/>
      <c r="N167" s="1"/>
      <c r="R167" s="10"/>
    </row>
    <row r="168" customFormat="false" ht="15" hidden="false" customHeight="false" outlineLevel="0" collapsed="false">
      <c r="H168" s="1"/>
      <c r="J168" s="1"/>
      <c r="K168" s="1"/>
      <c r="N168" s="1"/>
      <c r="R168" s="10"/>
    </row>
    <row r="169" customFormat="false" ht="15" hidden="false" customHeight="false" outlineLevel="0" collapsed="false">
      <c r="H169" s="1"/>
      <c r="J169" s="1"/>
      <c r="K169" s="1"/>
      <c r="N169" s="1"/>
      <c r="R169" s="10"/>
    </row>
    <row r="170" customFormat="false" ht="15" hidden="false" customHeight="false" outlineLevel="0" collapsed="false">
      <c r="H170" s="1"/>
      <c r="J170" s="1"/>
      <c r="K170" s="1"/>
      <c r="N170" s="1"/>
      <c r="R170" s="10"/>
    </row>
    <row r="171" customFormat="false" ht="15" hidden="false" customHeight="false" outlineLevel="0" collapsed="false">
      <c r="H171" s="1"/>
      <c r="J171" s="1"/>
      <c r="K171" s="1"/>
      <c r="N171" s="1"/>
      <c r="R171" s="10"/>
    </row>
    <row r="172" customFormat="false" ht="15" hidden="false" customHeight="false" outlineLevel="0" collapsed="false">
      <c r="H172" s="1"/>
      <c r="J172" s="1"/>
      <c r="K172" s="1"/>
      <c r="N172" s="1"/>
      <c r="R172" s="10"/>
    </row>
    <row r="173" customFormat="false" ht="15" hidden="false" customHeight="false" outlineLevel="0" collapsed="false">
      <c r="H173" s="1"/>
      <c r="J173" s="1"/>
      <c r="K173" s="1"/>
      <c r="N173" s="1"/>
      <c r="R173" s="10"/>
    </row>
  </sheetData>
  <conditionalFormatting sqref="N15">
    <cfRule type="containsText" priority="2" operator="containsText" aboveAverage="0" equalAverage="0" bottom="0" percent="0" rank="0" text="a montar" dxfId="350">
      <formula>NOT(ISERROR(SEARCH("a montar",N15)))</formula>
    </cfRule>
    <cfRule type="containsText" priority="3" operator="containsText" aboveAverage="0" equalAverage="0" bottom="0" percent="0" rank="0" text="a serrar" dxfId="351">
      <formula>NOT(ISERROR(SEARCH("a serrar",N15)))</formula>
    </cfRule>
    <cfRule type="containsText" priority="4" operator="containsText" aboveAverage="0" equalAverage="0" bottom="0" percent="0" rank="0" text="pronto" dxfId="352">
      <formula>NOT(ISERROR(SEARCH("pronto",N15)))</formula>
    </cfRule>
    <cfRule type="containsText" priority="5" operator="containsText" aboveAverage="0" equalAverage="0" bottom="0" percent="0" rank="0" text="empreita" dxfId="353">
      <formula>NOT(ISERROR(SEARCH("empreita",N15)))</formula>
    </cfRule>
    <cfRule type="containsText" priority="6" operator="containsText" aboveAverage="0" equalAverage="0" bottom="0" percent="0" rank="0" text="previsto" dxfId="354">
      <formula>NOT(ISERROR(SEARCH("previsto",N15)))</formula>
    </cfRule>
    <cfRule type="containsText" priority="7" operator="containsText" aboveAverage="0" equalAverage="0" bottom="0" percent="0" rank="0" text="produzindo" dxfId="355">
      <formula>NOT(ISERROR(SEARCH("produzindo",N15)))</formula>
    </cfRule>
    <cfRule type="containsText" priority="8" operator="containsText" aboveAverage="0" equalAverage="0" bottom="0" percent="0" rank="0" text="material ok" dxfId="356">
      <formula>NOT(ISERROR(SEARCH("material ok",N15)))</formula>
    </cfRule>
    <cfRule type="containsText" priority="9" operator="containsText" aboveAverage="0" equalAverage="0" bottom="0" percent="0" rank="0" text="a montar" dxfId="357">
      <formula>NOT(ISERROR(SEARCH("a montar",N15)))</formula>
    </cfRule>
    <cfRule type="containsText" priority="10" operator="containsText" aboveAverage="0" equalAverage="0" bottom="0" percent="0" rank="0" text="a serrar" dxfId="358">
      <formula>NOT(ISERROR(SEARCH("a serrar",N15)))</formula>
    </cfRule>
    <cfRule type="containsText" priority="11" operator="containsText" aboveAverage="0" equalAverage="0" bottom="0" percent="0" rank="0" text="pronto" dxfId="359">
      <formula>NOT(ISERROR(SEARCH("pronto",N15)))</formula>
    </cfRule>
    <cfRule type="containsText" priority="12" operator="containsText" aboveAverage="0" equalAverage="0" bottom="0" percent="0" rank="0" text="empreita" dxfId="360">
      <formula>NOT(ISERROR(SEARCH("empreita",N15)))</formula>
    </cfRule>
    <cfRule type="containsText" priority="13" operator="containsText" aboveAverage="0" equalAverage="0" bottom="0" percent="0" rank="0" text="previsto" dxfId="361">
      <formula>NOT(ISERROR(SEARCH("previsto",N15)))</formula>
    </cfRule>
    <cfRule type="containsText" priority="14" operator="containsText" aboveAverage="0" equalAverage="0" bottom="0" percent="0" rank="0" text="produzindo" dxfId="362">
      <formula>NOT(ISERROR(SEARCH("produzindo",N15)))</formula>
    </cfRule>
    <cfRule type="containsText" priority="15" operator="containsText" aboveAverage="0" equalAverage="0" bottom="0" percent="0" rank="0" text="material ok" dxfId="363">
      <formula>NOT(ISERROR(SEARCH("material ok",N15)))</formula>
    </cfRule>
  </conditionalFormatting>
  <conditionalFormatting sqref="N59:N63">
    <cfRule type="containsText" priority="16" operator="containsText" aboveAverage="0" equalAverage="0" bottom="0" percent="0" rank="0" text="a montar" dxfId="364">
      <formula>NOT(ISERROR(SEARCH("a montar",N59)))</formula>
    </cfRule>
    <cfRule type="containsText" priority="17" operator="containsText" aboveAverage="0" equalAverage="0" bottom="0" percent="0" rank="0" text="a serrar" dxfId="365">
      <formula>NOT(ISERROR(SEARCH("a serrar",N59)))</formula>
    </cfRule>
    <cfRule type="containsText" priority="18" operator="containsText" aboveAverage="0" equalAverage="0" bottom="0" percent="0" rank="0" text="pronto" dxfId="366">
      <formula>NOT(ISERROR(SEARCH("pronto",N59)))</formula>
    </cfRule>
    <cfRule type="containsText" priority="19" operator="containsText" aboveAverage="0" equalAverage="0" bottom="0" percent="0" rank="0" text="empreita" dxfId="367">
      <formula>NOT(ISERROR(SEARCH("empreita",N59)))</formula>
    </cfRule>
    <cfRule type="containsText" priority="20" operator="containsText" aboveAverage="0" equalAverage="0" bottom="0" percent="0" rank="0" text="previsto" dxfId="368">
      <formula>NOT(ISERROR(SEARCH("previsto",N59)))</formula>
    </cfRule>
    <cfRule type="containsText" priority="21" operator="containsText" aboveAverage="0" equalAverage="0" bottom="0" percent="0" rank="0" text="produzindo" dxfId="369">
      <formula>NOT(ISERROR(SEARCH("produzindo",N59)))</formula>
    </cfRule>
    <cfRule type="containsText" priority="22" operator="containsText" aboveAverage="0" equalAverage="0" bottom="0" percent="0" rank="0" text="material ok" dxfId="370">
      <formula>NOT(ISERROR(SEARCH("material ok",N59)))</formula>
    </cfRule>
    <cfRule type="containsText" priority="23" operator="containsText" aboveAverage="0" equalAverage="0" bottom="0" percent="0" rank="0" text="a montar" dxfId="371">
      <formula>NOT(ISERROR(SEARCH("a montar",N59)))</formula>
    </cfRule>
    <cfRule type="containsText" priority="24" operator="containsText" aboveAverage="0" equalAverage="0" bottom="0" percent="0" rank="0" text="a serrar" dxfId="372">
      <formula>NOT(ISERROR(SEARCH("a serrar",N59)))</formula>
    </cfRule>
    <cfRule type="containsText" priority="25" operator="containsText" aboveAverage="0" equalAverage="0" bottom="0" percent="0" rank="0" text="pronto" dxfId="373">
      <formula>NOT(ISERROR(SEARCH("pronto",N59)))</formula>
    </cfRule>
    <cfRule type="containsText" priority="26" operator="containsText" aboveAverage="0" equalAverage="0" bottom="0" percent="0" rank="0" text="empreita" dxfId="374">
      <formula>NOT(ISERROR(SEARCH("empreita",N59)))</formula>
    </cfRule>
    <cfRule type="containsText" priority="27" operator="containsText" aboveAverage="0" equalAverage="0" bottom="0" percent="0" rank="0" text="previsto" dxfId="375">
      <formula>NOT(ISERROR(SEARCH("previsto",N59)))</formula>
    </cfRule>
    <cfRule type="containsText" priority="28" operator="containsText" aboveAverage="0" equalAverage="0" bottom="0" percent="0" rank="0" text="produzindo" dxfId="376">
      <formula>NOT(ISERROR(SEARCH("produzindo",N59)))</formula>
    </cfRule>
    <cfRule type="containsText" priority="29" operator="containsText" aboveAverage="0" equalAverage="0" bottom="0" percent="0" rank="0" text="material ok" dxfId="377">
      <formula>NOT(ISERROR(SEARCH("material ok",N59)))</formula>
    </cfRule>
  </conditionalFormatting>
  <conditionalFormatting sqref="N57">
    <cfRule type="containsText" priority="30" operator="containsText" aboveAverage="0" equalAverage="0" bottom="0" percent="0" rank="0" text="a montar" dxfId="378">
      <formula>NOT(ISERROR(SEARCH("a montar",N57)))</formula>
    </cfRule>
    <cfRule type="containsText" priority="31" operator="containsText" aboveAverage="0" equalAverage="0" bottom="0" percent="0" rank="0" text="a serrar" dxfId="379">
      <formula>NOT(ISERROR(SEARCH("a serrar",N57)))</formula>
    </cfRule>
    <cfRule type="containsText" priority="32" operator="containsText" aboveAverage="0" equalAverage="0" bottom="0" percent="0" rank="0" text="pronto" dxfId="380">
      <formula>NOT(ISERROR(SEARCH("pronto",N57)))</formula>
    </cfRule>
    <cfRule type="containsText" priority="33" operator="containsText" aboveAverage="0" equalAverage="0" bottom="0" percent="0" rank="0" text="empreita" dxfId="381">
      <formula>NOT(ISERROR(SEARCH("empreita",N57)))</formula>
    </cfRule>
    <cfRule type="containsText" priority="34" operator="containsText" aboveAverage="0" equalAverage="0" bottom="0" percent="0" rank="0" text="previsto" dxfId="382">
      <formula>NOT(ISERROR(SEARCH("previsto",N57)))</formula>
    </cfRule>
    <cfRule type="containsText" priority="35" operator="containsText" aboveAverage="0" equalAverage="0" bottom="0" percent="0" rank="0" text="produzindo" dxfId="383">
      <formula>NOT(ISERROR(SEARCH("produzindo",N57)))</formula>
    </cfRule>
    <cfRule type="containsText" priority="36" operator="containsText" aboveAverage="0" equalAverage="0" bottom="0" percent="0" rank="0" text="material ok" dxfId="384">
      <formula>NOT(ISERROR(SEARCH("material ok",N57)))</formula>
    </cfRule>
    <cfRule type="containsText" priority="37" operator="containsText" aboveAverage="0" equalAverage="0" bottom="0" percent="0" rank="0" text="a montar" dxfId="385">
      <formula>NOT(ISERROR(SEARCH("a montar",N57)))</formula>
    </cfRule>
    <cfRule type="containsText" priority="38" operator="containsText" aboveAverage="0" equalAverage="0" bottom="0" percent="0" rank="0" text="a serrar" dxfId="386">
      <formula>NOT(ISERROR(SEARCH("a serrar",N57)))</formula>
    </cfRule>
    <cfRule type="containsText" priority="39" operator="containsText" aboveAverage="0" equalAverage="0" bottom="0" percent="0" rank="0" text="pronto" dxfId="387">
      <formula>NOT(ISERROR(SEARCH("pronto",N57)))</formula>
    </cfRule>
    <cfRule type="containsText" priority="40" operator="containsText" aboveAverage="0" equalAverage="0" bottom="0" percent="0" rank="0" text="empreita" dxfId="388">
      <formula>NOT(ISERROR(SEARCH("empreita",N57)))</formula>
    </cfRule>
    <cfRule type="containsText" priority="41" operator="containsText" aboveAverage="0" equalAverage="0" bottom="0" percent="0" rank="0" text="previsto" dxfId="389">
      <formula>NOT(ISERROR(SEARCH("previsto",N57)))</formula>
    </cfRule>
    <cfRule type="containsText" priority="42" operator="containsText" aboveAverage="0" equalAverage="0" bottom="0" percent="0" rank="0" text="produzindo" dxfId="390">
      <formula>NOT(ISERROR(SEARCH("produzindo",N57)))</formula>
    </cfRule>
    <cfRule type="containsText" priority="43" operator="containsText" aboveAverage="0" equalAverage="0" bottom="0" percent="0" rank="0" text="material ok" dxfId="391">
      <formula>NOT(ISERROR(SEARCH("material ok",N57)))</formula>
    </cfRule>
  </conditionalFormatting>
  <conditionalFormatting sqref="N68">
    <cfRule type="containsText" priority="44" operator="containsText" aboveAverage="0" equalAverage="0" bottom="0" percent="0" rank="0" text="a montar" dxfId="392">
      <formula>NOT(ISERROR(SEARCH("a montar",N68)))</formula>
    </cfRule>
    <cfRule type="containsText" priority="45" operator="containsText" aboveAverage="0" equalAverage="0" bottom="0" percent="0" rank="0" text="a serrar" dxfId="393">
      <formula>NOT(ISERROR(SEARCH("a serrar",N68)))</formula>
    </cfRule>
    <cfRule type="containsText" priority="46" operator="containsText" aboveAverage="0" equalAverage="0" bottom="0" percent="0" rank="0" text="pronto" dxfId="394">
      <formula>NOT(ISERROR(SEARCH("pronto",N68)))</formula>
    </cfRule>
    <cfRule type="containsText" priority="47" operator="containsText" aboveAverage="0" equalAverage="0" bottom="0" percent="0" rank="0" text="empreita" dxfId="395">
      <formula>NOT(ISERROR(SEARCH("empreita",N68)))</formula>
    </cfRule>
    <cfRule type="containsText" priority="48" operator="containsText" aboveAverage="0" equalAverage="0" bottom="0" percent="0" rank="0" text="previsto" dxfId="396">
      <formula>NOT(ISERROR(SEARCH("previsto",N68)))</formula>
    </cfRule>
    <cfRule type="containsText" priority="49" operator="containsText" aboveAverage="0" equalAverage="0" bottom="0" percent="0" rank="0" text="produzindo" dxfId="397">
      <formula>NOT(ISERROR(SEARCH("produzindo",N68)))</formula>
    </cfRule>
    <cfRule type="containsText" priority="50" operator="containsText" aboveAverage="0" equalAverage="0" bottom="0" percent="0" rank="0" text="material ok" dxfId="398">
      <formula>NOT(ISERROR(SEARCH("material ok",N68)))</formula>
    </cfRule>
  </conditionalFormatting>
  <conditionalFormatting sqref="N68:N69">
    <cfRule type="containsText" priority="51" operator="containsText" aboveAverage="0" equalAverage="0" bottom="0" percent="0" rank="0" text="a montar" dxfId="399">
      <formula>NOT(ISERROR(SEARCH("a montar",N68)))</formula>
    </cfRule>
    <cfRule type="containsText" priority="52" operator="containsText" aboveAverage="0" equalAverage="0" bottom="0" percent="0" rank="0" text="a serrar" dxfId="400">
      <formula>NOT(ISERROR(SEARCH("a serrar",N68)))</formula>
    </cfRule>
    <cfRule type="containsText" priority="53" operator="containsText" aboveAverage="0" equalAverage="0" bottom="0" percent="0" rank="0" text="pronto" dxfId="401">
      <formula>NOT(ISERROR(SEARCH("pronto",N68)))</formula>
    </cfRule>
    <cfRule type="containsText" priority="54" operator="containsText" aboveAverage="0" equalAverage="0" bottom="0" percent="0" rank="0" text="empreita" dxfId="402">
      <formula>NOT(ISERROR(SEARCH("empreita",N68)))</formula>
    </cfRule>
    <cfRule type="containsText" priority="55" operator="containsText" aboveAverage="0" equalAverage="0" bottom="0" percent="0" rank="0" text="previsto" dxfId="403">
      <formula>NOT(ISERROR(SEARCH("previsto",N68)))</formula>
    </cfRule>
    <cfRule type="containsText" priority="56" operator="containsText" aboveAverage="0" equalAverage="0" bottom="0" percent="0" rank="0" text="produzindo" dxfId="404">
      <formula>NOT(ISERROR(SEARCH("produzindo",N68)))</formula>
    </cfRule>
    <cfRule type="containsText" priority="57" operator="containsText" aboveAverage="0" equalAverage="0" bottom="0" percent="0" rank="0" text="material ok" dxfId="405">
      <formula>NOT(ISERROR(SEARCH("material ok",N68)))</formula>
    </cfRule>
  </conditionalFormatting>
  <conditionalFormatting sqref="N69">
    <cfRule type="containsText" priority="58" operator="containsText" aboveAverage="0" equalAverage="0" bottom="0" percent="0" rank="0" text="a montar" dxfId="406">
      <formula>NOT(ISERROR(SEARCH("a montar",N69)))</formula>
    </cfRule>
    <cfRule type="containsText" priority="59" operator="containsText" aboveAverage="0" equalAverage="0" bottom="0" percent="0" rank="0" text="a serrar" dxfId="407">
      <formula>NOT(ISERROR(SEARCH("a serrar",N69)))</formula>
    </cfRule>
    <cfRule type="containsText" priority="60" operator="containsText" aboveAverage="0" equalAverage="0" bottom="0" percent="0" rank="0" text="pronto" dxfId="408">
      <formula>NOT(ISERROR(SEARCH("pronto",N69)))</formula>
    </cfRule>
    <cfRule type="containsText" priority="61" operator="containsText" aboveAverage="0" equalAverage="0" bottom="0" percent="0" rank="0" text="empreita" dxfId="409">
      <formula>NOT(ISERROR(SEARCH("empreita",N69)))</formula>
    </cfRule>
    <cfRule type="containsText" priority="62" operator="containsText" aboveAverage="0" equalAverage="0" bottom="0" percent="0" rank="0" text="previsto" dxfId="410">
      <formula>NOT(ISERROR(SEARCH("previsto",N69)))</formula>
    </cfRule>
    <cfRule type="containsText" priority="63" operator="containsText" aboveAverage="0" equalAverage="0" bottom="0" percent="0" rank="0" text="produzindo" dxfId="411">
      <formula>NOT(ISERROR(SEARCH("produzindo",N69)))</formula>
    </cfRule>
    <cfRule type="containsText" priority="64" operator="containsText" aboveAverage="0" equalAverage="0" bottom="0" percent="0" rank="0" text="material ok" dxfId="412">
      <formula>NOT(ISERROR(SEARCH("material ok",N69)))</formula>
    </cfRule>
  </conditionalFormatting>
  <conditionalFormatting sqref="N71">
    <cfRule type="containsText" priority="65" operator="containsText" aboveAverage="0" equalAverage="0" bottom="0" percent="0" rank="0" text="a montar" dxfId="413">
      <formula>NOT(ISERROR(SEARCH("a montar",N71)))</formula>
    </cfRule>
    <cfRule type="containsText" priority="66" operator="containsText" aboveAverage="0" equalAverage="0" bottom="0" percent="0" rank="0" text="a serrar" dxfId="414">
      <formula>NOT(ISERROR(SEARCH("a serrar",N71)))</formula>
    </cfRule>
    <cfRule type="containsText" priority="67" operator="containsText" aboveAverage="0" equalAverage="0" bottom="0" percent="0" rank="0" text="pronto" dxfId="415">
      <formula>NOT(ISERROR(SEARCH("pronto",N71)))</formula>
    </cfRule>
    <cfRule type="containsText" priority="68" operator="containsText" aboveAverage="0" equalAverage="0" bottom="0" percent="0" rank="0" text="empreita" dxfId="416">
      <formula>NOT(ISERROR(SEARCH("empreita",N71)))</formula>
    </cfRule>
    <cfRule type="containsText" priority="69" operator="containsText" aboveAverage="0" equalAverage="0" bottom="0" percent="0" rank="0" text="previsto" dxfId="417">
      <formula>NOT(ISERROR(SEARCH("previsto",N71)))</formula>
    </cfRule>
    <cfRule type="containsText" priority="70" operator="containsText" aboveAverage="0" equalAverage="0" bottom="0" percent="0" rank="0" text="produzindo" dxfId="418">
      <formula>NOT(ISERROR(SEARCH("produzindo",N71)))</formula>
    </cfRule>
    <cfRule type="containsText" priority="71" operator="containsText" aboveAverage="0" equalAverage="0" bottom="0" percent="0" rank="0" text="material ok" dxfId="419">
      <formula>NOT(ISERROR(SEARCH("material ok",N71)))</formula>
    </cfRule>
  </conditionalFormatting>
  <conditionalFormatting sqref="N71:N72">
    <cfRule type="containsText" priority="72" operator="containsText" aboveAverage="0" equalAverage="0" bottom="0" percent="0" rank="0" text="a montar" dxfId="420">
      <formula>NOT(ISERROR(SEARCH("a montar",N71)))</formula>
    </cfRule>
    <cfRule type="containsText" priority="73" operator="containsText" aboveAverage="0" equalAverage="0" bottom="0" percent="0" rank="0" text="a serrar" dxfId="421">
      <formula>NOT(ISERROR(SEARCH("a serrar",N71)))</formula>
    </cfRule>
    <cfRule type="containsText" priority="74" operator="containsText" aboveAverage="0" equalAverage="0" bottom="0" percent="0" rank="0" text="pronto" dxfId="422">
      <formula>NOT(ISERROR(SEARCH("pronto",N71)))</formula>
    </cfRule>
    <cfRule type="containsText" priority="75" operator="containsText" aboveAverage="0" equalAverage="0" bottom="0" percent="0" rank="0" text="empreita" dxfId="423">
      <formula>NOT(ISERROR(SEARCH("empreita",N71)))</formula>
    </cfRule>
    <cfRule type="containsText" priority="76" operator="containsText" aboveAverage="0" equalAverage="0" bottom="0" percent="0" rank="0" text="previsto" dxfId="424">
      <formula>NOT(ISERROR(SEARCH("previsto",N71)))</formula>
    </cfRule>
    <cfRule type="containsText" priority="77" operator="containsText" aboveAverage="0" equalAverage="0" bottom="0" percent="0" rank="0" text="produzindo" dxfId="425">
      <formula>NOT(ISERROR(SEARCH("produzindo",N71)))</formula>
    </cfRule>
    <cfRule type="containsText" priority="78" operator="containsText" aboveAverage="0" equalAverage="0" bottom="0" percent="0" rank="0" text="material ok" dxfId="426">
      <formula>NOT(ISERROR(SEARCH("material ok",N71)))</formula>
    </cfRule>
  </conditionalFormatting>
  <conditionalFormatting sqref="N65">
    <cfRule type="containsText" priority="79" operator="containsText" aboveAverage="0" equalAverage="0" bottom="0" percent="0" rank="0" text="a montar" dxfId="427">
      <formula>NOT(ISERROR(SEARCH("a montar",N65)))</formula>
    </cfRule>
    <cfRule type="containsText" priority="80" operator="containsText" aboveAverage="0" equalAverage="0" bottom="0" percent="0" rank="0" text="a serrar" dxfId="428">
      <formula>NOT(ISERROR(SEARCH("a serrar",N65)))</formula>
    </cfRule>
    <cfRule type="containsText" priority="81" operator="containsText" aboveAverage="0" equalAverage="0" bottom="0" percent="0" rank="0" text="pronto" dxfId="429">
      <formula>NOT(ISERROR(SEARCH("pronto",N65)))</formula>
    </cfRule>
    <cfRule type="containsText" priority="82" operator="containsText" aboveAverage="0" equalAverage="0" bottom="0" percent="0" rank="0" text="empreita" dxfId="430">
      <formula>NOT(ISERROR(SEARCH("empreita",N65)))</formula>
    </cfRule>
    <cfRule type="containsText" priority="83" operator="containsText" aboveAverage="0" equalAverage="0" bottom="0" percent="0" rank="0" text="previsto" dxfId="431">
      <formula>NOT(ISERROR(SEARCH("previsto",N65)))</formula>
    </cfRule>
    <cfRule type="containsText" priority="84" operator="containsText" aboveAverage="0" equalAverage="0" bottom="0" percent="0" rank="0" text="produzindo" dxfId="432">
      <formula>NOT(ISERROR(SEARCH("produzindo",N65)))</formula>
    </cfRule>
    <cfRule type="containsText" priority="85" operator="containsText" aboveAverage="0" equalAverage="0" bottom="0" percent="0" rank="0" text="material ok" dxfId="433">
      <formula>NOT(ISERROR(SEARCH("material ok",N65)))</formula>
    </cfRule>
  </conditionalFormatting>
  <conditionalFormatting sqref="N64:N67">
    <cfRule type="containsText" priority="86" operator="containsText" aboveAverage="0" equalAverage="0" bottom="0" percent="0" rank="0" text="a montar" dxfId="434">
      <formula>NOT(ISERROR(SEARCH("a montar",N64)))</formula>
    </cfRule>
    <cfRule type="containsText" priority="87" operator="containsText" aboveAverage="0" equalAverage="0" bottom="0" percent="0" rank="0" text="a serrar" dxfId="435">
      <formula>NOT(ISERROR(SEARCH("a serrar",N64)))</formula>
    </cfRule>
    <cfRule type="containsText" priority="88" operator="containsText" aboveAverage="0" equalAverage="0" bottom="0" percent="0" rank="0" text="pronto" dxfId="436">
      <formula>NOT(ISERROR(SEARCH("pronto",N64)))</formula>
    </cfRule>
    <cfRule type="containsText" priority="89" operator="containsText" aboveAverage="0" equalAverage="0" bottom="0" percent="0" rank="0" text="empreita" dxfId="437">
      <formula>NOT(ISERROR(SEARCH("empreita",N64)))</formula>
    </cfRule>
    <cfRule type="containsText" priority="90" operator="containsText" aboveAverage="0" equalAverage="0" bottom="0" percent="0" rank="0" text="previsto" dxfId="438">
      <formula>NOT(ISERROR(SEARCH("previsto",N64)))</formula>
    </cfRule>
    <cfRule type="containsText" priority="91" operator="containsText" aboveAverage="0" equalAverage="0" bottom="0" percent="0" rank="0" text="produzindo" dxfId="439">
      <formula>NOT(ISERROR(SEARCH("produzindo",N64)))</formula>
    </cfRule>
    <cfRule type="containsText" priority="92" operator="containsText" aboveAverage="0" equalAverage="0" bottom="0" percent="0" rank="0" text="material ok" dxfId="440">
      <formula>NOT(ISERROR(SEARCH("material ok",N64)))</formula>
    </cfRule>
  </conditionalFormatting>
  <conditionalFormatting sqref="N66:N67">
    <cfRule type="containsText" priority="93" operator="containsText" aboveAverage="0" equalAverage="0" bottom="0" percent="0" rank="0" text="a montar" dxfId="441">
      <formula>NOT(ISERROR(SEARCH("a montar",N66)))</formula>
    </cfRule>
    <cfRule type="containsText" priority="94" operator="containsText" aboveAverage="0" equalAverage="0" bottom="0" percent="0" rank="0" text="a serrar" dxfId="442">
      <formula>NOT(ISERROR(SEARCH("a serrar",N66)))</formula>
    </cfRule>
    <cfRule type="containsText" priority="95" operator="containsText" aboveAverage="0" equalAverage="0" bottom="0" percent="0" rank="0" text="pronto" dxfId="443">
      <formula>NOT(ISERROR(SEARCH("pronto",N66)))</formula>
    </cfRule>
    <cfRule type="containsText" priority="96" operator="containsText" aboveAverage="0" equalAverage="0" bottom="0" percent="0" rank="0" text="empreita" dxfId="444">
      <formula>NOT(ISERROR(SEARCH("empreita",N66)))</formula>
    </cfRule>
    <cfRule type="containsText" priority="97" operator="containsText" aboveAverage="0" equalAverage="0" bottom="0" percent="0" rank="0" text="previsto" dxfId="445">
      <formula>NOT(ISERROR(SEARCH("previsto",N66)))</formula>
    </cfRule>
    <cfRule type="containsText" priority="98" operator="containsText" aboveAverage="0" equalAverage="0" bottom="0" percent="0" rank="0" text="produzindo" dxfId="446">
      <formula>NOT(ISERROR(SEARCH("produzindo",N66)))</formula>
    </cfRule>
    <cfRule type="containsText" priority="99" operator="containsText" aboveAverage="0" equalAverage="0" bottom="0" percent="0" rank="0" text="material ok" dxfId="447">
      <formula>NOT(ISERROR(SEARCH("material ok",N66)))</formula>
    </cfRule>
  </conditionalFormatting>
  <conditionalFormatting sqref="N72">
    <cfRule type="containsText" priority="100" operator="containsText" aboveAverage="0" equalAverage="0" bottom="0" percent="0" rank="0" text="a montar" dxfId="448">
      <formula>NOT(ISERROR(SEARCH("a montar",N72)))</formula>
    </cfRule>
    <cfRule type="containsText" priority="101" operator="containsText" aboveAverage="0" equalAverage="0" bottom="0" percent="0" rank="0" text="a serrar" dxfId="449">
      <formula>NOT(ISERROR(SEARCH("a serrar",N72)))</formula>
    </cfRule>
    <cfRule type="containsText" priority="102" operator="containsText" aboveAverage="0" equalAverage="0" bottom="0" percent="0" rank="0" text="pronto" dxfId="450">
      <formula>NOT(ISERROR(SEARCH("pronto",N72)))</formula>
    </cfRule>
    <cfRule type="containsText" priority="103" operator="containsText" aboveAverage="0" equalAverage="0" bottom="0" percent="0" rank="0" text="empreita" dxfId="451">
      <formula>NOT(ISERROR(SEARCH("empreita",N72)))</formula>
    </cfRule>
    <cfRule type="containsText" priority="104" operator="containsText" aboveAverage="0" equalAverage="0" bottom="0" percent="0" rank="0" text="previsto" dxfId="452">
      <formula>NOT(ISERROR(SEARCH("previsto",N72)))</formula>
    </cfRule>
    <cfRule type="containsText" priority="105" operator="containsText" aboveAverage="0" equalAverage="0" bottom="0" percent="0" rank="0" text="produzindo" dxfId="453">
      <formula>NOT(ISERROR(SEARCH("produzindo",N72)))</formula>
    </cfRule>
    <cfRule type="containsText" priority="106" operator="containsText" aboveAverage="0" equalAverage="0" bottom="0" percent="0" rank="0" text="material ok" dxfId="454">
      <formula>NOT(ISERROR(SEARCH("material ok",N72)))</formula>
    </cfRule>
  </conditionalFormatting>
  <conditionalFormatting sqref="N46:N49">
    <cfRule type="containsText" priority="107" operator="containsText" aboveAverage="0" equalAverage="0" bottom="0" percent="0" rank="0" text="a montar" dxfId="455">
      <formula>NOT(ISERROR(SEARCH("a montar",N46)))</formula>
    </cfRule>
    <cfRule type="containsText" priority="108" operator="containsText" aboveAverage="0" equalAverage="0" bottom="0" percent="0" rank="0" text="a serrar" dxfId="456">
      <formula>NOT(ISERROR(SEARCH("a serrar",N46)))</formula>
    </cfRule>
    <cfRule type="containsText" priority="109" operator="containsText" aboveAverage="0" equalAverage="0" bottom="0" percent="0" rank="0" text="pronto" dxfId="457">
      <formula>NOT(ISERROR(SEARCH("pronto",N46)))</formula>
    </cfRule>
    <cfRule type="containsText" priority="110" operator="containsText" aboveAverage="0" equalAverage="0" bottom="0" percent="0" rank="0" text="empreita" dxfId="458">
      <formula>NOT(ISERROR(SEARCH("empreita",N46)))</formula>
    </cfRule>
    <cfRule type="containsText" priority="111" operator="containsText" aboveAverage="0" equalAverage="0" bottom="0" percent="0" rank="0" text="previsto" dxfId="459">
      <formula>NOT(ISERROR(SEARCH("previsto",N46)))</formula>
    </cfRule>
    <cfRule type="containsText" priority="112" operator="containsText" aboveAverage="0" equalAverage="0" bottom="0" percent="0" rank="0" text="produzindo" dxfId="460">
      <formula>NOT(ISERROR(SEARCH("produzindo",N46)))</formula>
    </cfRule>
    <cfRule type="containsText" priority="113" operator="containsText" aboveAverage="0" equalAverage="0" bottom="0" percent="0" rank="0" text="material ok" dxfId="461">
      <formula>NOT(ISERROR(SEARCH("material ok",N46)))</formula>
    </cfRule>
    <cfRule type="containsText" priority="114" operator="containsText" aboveAverage="0" equalAverage="0" bottom="0" percent="0" rank="0" text="a montar" dxfId="462">
      <formula>NOT(ISERROR(SEARCH("a montar",N46)))</formula>
    </cfRule>
    <cfRule type="containsText" priority="115" operator="containsText" aboveAverage="0" equalAverage="0" bottom="0" percent="0" rank="0" text="a serrar" dxfId="463">
      <formula>NOT(ISERROR(SEARCH("a serrar",N46)))</formula>
    </cfRule>
    <cfRule type="containsText" priority="116" operator="containsText" aboveAverage="0" equalAverage="0" bottom="0" percent="0" rank="0" text="pronto" dxfId="464">
      <formula>NOT(ISERROR(SEARCH("pronto",N46)))</formula>
    </cfRule>
    <cfRule type="containsText" priority="117" operator="containsText" aboveAverage="0" equalAverage="0" bottom="0" percent="0" rank="0" text="empreita" dxfId="465">
      <formula>NOT(ISERROR(SEARCH("empreita",N46)))</formula>
    </cfRule>
    <cfRule type="containsText" priority="118" operator="containsText" aboveAverage="0" equalAverage="0" bottom="0" percent="0" rank="0" text="previsto" dxfId="466">
      <formula>NOT(ISERROR(SEARCH("previsto",N46)))</formula>
    </cfRule>
    <cfRule type="containsText" priority="119" operator="containsText" aboveAverage="0" equalAverage="0" bottom="0" percent="0" rank="0" text="produzindo" dxfId="467">
      <formula>NOT(ISERROR(SEARCH("produzindo",N46)))</formula>
    </cfRule>
    <cfRule type="containsText" priority="120" operator="containsText" aboveAverage="0" equalAverage="0" bottom="0" percent="0" rank="0" text="material ok" dxfId="468">
      <formula>NOT(ISERROR(SEARCH("material ok",N46)))</formula>
    </cfRule>
  </conditionalFormatting>
  <conditionalFormatting sqref="N43">
    <cfRule type="containsText" priority="121" operator="containsText" aboveAverage="0" equalAverage="0" bottom="0" percent="0" rank="0" text="a montar" dxfId="469">
      <formula>NOT(ISERROR(SEARCH("a montar",N43)))</formula>
    </cfRule>
    <cfRule type="containsText" priority="122" operator="containsText" aboveAverage="0" equalAverage="0" bottom="0" percent="0" rank="0" text="a serrar" dxfId="470">
      <formula>NOT(ISERROR(SEARCH("a serrar",N43)))</formula>
    </cfRule>
    <cfRule type="containsText" priority="123" operator="containsText" aboveAverage="0" equalAverage="0" bottom="0" percent="0" rank="0" text="pronto" dxfId="471">
      <formula>NOT(ISERROR(SEARCH("pronto",N43)))</formula>
    </cfRule>
    <cfRule type="containsText" priority="124" operator="containsText" aboveAverage="0" equalAverage="0" bottom="0" percent="0" rank="0" text="empreita" dxfId="472">
      <formula>NOT(ISERROR(SEARCH("empreita",N43)))</formula>
    </cfRule>
    <cfRule type="containsText" priority="125" operator="containsText" aboveAverage="0" equalAverage="0" bottom="0" percent="0" rank="0" text="previsto" dxfId="473">
      <formula>NOT(ISERROR(SEARCH("previsto",N43)))</formula>
    </cfRule>
    <cfRule type="containsText" priority="126" operator="containsText" aboveAverage="0" equalAverage="0" bottom="0" percent="0" rank="0" text="produzindo" dxfId="474">
      <formula>NOT(ISERROR(SEARCH("produzindo",N43)))</formula>
    </cfRule>
    <cfRule type="containsText" priority="127" operator="containsText" aboveAverage="0" equalAverage="0" bottom="0" percent="0" rank="0" text="material ok" dxfId="475">
      <formula>NOT(ISERROR(SEARCH("material ok",N43)))</formula>
    </cfRule>
  </conditionalFormatting>
  <conditionalFormatting sqref="N43:N44">
    <cfRule type="containsText" priority="128" operator="containsText" aboveAverage="0" equalAverage="0" bottom="0" percent="0" rank="0" text="a montar" dxfId="476">
      <formula>NOT(ISERROR(SEARCH("a montar",N43)))</formula>
    </cfRule>
    <cfRule type="containsText" priority="129" operator="containsText" aboveAverage="0" equalAverage="0" bottom="0" percent="0" rank="0" text="a serrar" dxfId="477">
      <formula>NOT(ISERROR(SEARCH("a serrar",N43)))</formula>
    </cfRule>
    <cfRule type="containsText" priority="130" operator="containsText" aboveAverage="0" equalAverage="0" bottom="0" percent="0" rank="0" text="pronto" dxfId="478">
      <formula>NOT(ISERROR(SEARCH("pronto",N43)))</formula>
    </cfRule>
    <cfRule type="containsText" priority="131" operator="containsText" aboveAverage="0" equalAverage="0" bottom="0" percent="0" rank="0" text="empreita" dxfId="479">
      <formula>NOT(ISERROR(SEARCH("empreita",N43)))</formula>
    </cfRule>
    <cfRule type="containsText" priority="132" operator="containsText" aboveAverage="0" equalAverage="0" bottom="0" percent="0" rank="0" text="previsto" dxfId="480">
      <formula>NOT(ISERROR(SEARCH("previsto",N43)))</formula>
    </cfRule>
    <cfRule type="containsText" priority="133" operator="containsText" aboveAverage="0" equalAverage="0" bottom="0" percent="0" rank="0" text="produzindo" dxfId="481">
      <formula>NOT(ISERROR(SEARCH("produzindo",N43)))</formula>
    </cfRule>
    <cfRule type="containsText" priority="134" operator="containsText" aboveAverage="0" equalAverage="0" bottom="0" percent="0" rank="0" text="material ok" dxfId="482">
      <formula>NOT(ISERROR(SEARCH("material ok",N43)))</formula>
    </cfRule>
  </conditionalFormatting>
  <conditionalFormatting sqref="N39">
    <cfRule type="containsText" priority="135" operator="containsText" aboveAverage="0" equalAverage="0" bottom="0" percent="0" rank="0" text="a montar" dxfId="483">
      <formula>NOT(ISERROR(SEARCH("a montar",N39)))</formula>
    </cfRule>
    <cfRule type="containsText" priority="136" operator="containsText" aboveAverage="0" equalAverage="0" bottom="0" percent="0" rank="0" text="a serrar" dxfId="484">
      <formula>NOT(ISERROR(SEARCH("a serrar",N39)))</formula>
    </cfRule>
    <cfRule type="containsText" priority="137" operator="containsText" aboveAverage="0" equalAverage="0" bottom="0" percent="0" rank="0" text="pronto" dxfId="485">
      <formula>NOT(ISERROR(SEARCH("pronto",N39)))</formula>
    </cfRule>
    <cfRule type="containsText" priority="138" operator="containsText" aboveAverage="0" equalAverage="0" bottom="0" percent="0" rank="0" text="empreita" dxfId="486">
      <formula>NOT(ISERROR(SEARCH("empreita",N39)))</formula>
    </cfRule>
    <cfRule type="containsText" priority="139" operator="containsText" aboveAverage="0" equalAverage="0" bottom="0" percent="0" rank="0" text="previsto" dxfId="487">
      <formula>NOT(ISERROR(SEARCH("previsto",N39)))</formula>
    </cfRule>
    <cfRule type="containsText" priority="140" operator="containsText" aboveAverage="0" equalAverage="0" bottom="0" percent="0" rank="0" text="produzindo" dxfId="488">
      <formula>NOT(ISERROR(SEARCH("produzindo",N39)))</formula>
    </cfRule>
    <cfRule type="containsText" priority="141" operator="containsText" aboveAverage="0" equalAverage="0" bottom="0" percent="0" rank="0" text="material ok" dxfId="489">
      <formula>NOT(ISERROR(SEARCH("material ok",N39)))</formula>
    </cfRule>
    <cfRule type="containsText" priority="142" operator="containsText" aboveAverage="0" equalAverage="0" bottom="0" percent="0" rank="0" text="a montar" dxfId="490">
      <formula>NOT(ISERROR(SEARCH("a montar",N39)))</formula>
    </cfRule>
    <cfRule type="containsText" priority="143" operator="containsText" aboveAverage="0" equalAverage="0" bottom="0" percent="0" rank="0" text="a serrar" dxfId="491">
      <formula>NOT(ISERROR(SEARCH("a serrar",N39)))</formula>
    </cfRule>
    <cfRule type="containsText" priority="144" operator="containsText" aboveAverage="0" equalAverage="0" bottom="0" percent="0" rank="0" text="pronto" dxfId="492">
      <formula>NOT(ISERROR(SEARCH("pronto",N39)))</formula>
    </cfRule>
    <cfRule type="containsText" priority="145" operator="containsText" aboveAverage="0" equalAverage="0" bottom="0" percent="0" rank="0" text="empreita" dxfId="493">
      <formula>NOT(ISERROR(SEARCH("empreita",N39)))</formula>
    </cfRule>
    <cfRule type="containsText" priority="146" operator="containsText" aboveAverage="0" equalAverage="0" bottom="0" percent="0" rank="0" text="previsto" dxfId="494">
      <formula>NOT(ISERROR(SEARCH("previsto",N39)))</formula>
    </cfRule>
    <cfRule type="containsText" priority="147" operator="containsText" aboveAverage="0" equalAverage="0" bottom="0" percent="0" rank="0" text="produzindo" dxfId="495">
      <formula>NOT(ISERROR(SEARCH("produzindo",N39)))</formula>
    </cfRule>
    <cfRule type="containsText" priority="148" operator="containsText" aboveAverage="0" equalAverage="0" bottom="0" percent="0" rank="0" text="material ok" dxfId="496">
      <formula>NOT(ISERROR(SEARCH("material ok",N39)))</formula>
    </cfRule>
  </conditionalFormatting>
  <conditionalFormatting sqref="N44:N45">
    <cfRule type="containsText" priority="149" operator="containsText" aboveAverage="0" equalAverage="0" bottom="0" percent="0" rank="0" text="a montar" dxfId="497">
      <formula>NOT(ISERROR(SEARCH("a montar",N44)))</formula>
    </cfRule>
    <cfRule type="containsText" priority="150" operator="containsText" aboveAverage="0" equalAverage="0" bottom="0" percent="0" rank="0" text="a serrar" dxfId="498">
      <formula>NOT(ISERROR(SEARCH("a serrar",N44)))</formula>
    </cfRule>
    <cfRule type="containsText" priority="151" operator="containsText" aboveAverage="0" equalAverage="0" bottom="0" percent="0" rank="0" text="pronto" dxfId="499">
      <formula>NOT(ISERROR(SEARCH("pronto",N44)))</formula>
    </cfRule>
    <cfRule type="containsText" priority="152" operator="containsText" aboveAverage="0" equalAverage="0" bottom="0" percent="0" rank="0" text="empreita" dxfId="500">
      <formula>NOT(ISERROR(SEARCH("empreita",N44)))</formula>
    </cfRule>
    <cfRule type="containsText" priority="153" operator="containsText" aboveAverage="0" equalAverage="0" bottom="0" percent="0" rank="0" text="previsto" dxfId="501">
      <formula>NOT(ISERROR(SEARCH("previsto",N44)))</formula>
    </cfRule>
    <cfRule type="containsText" priority="154" operator="containsText" aboveAverage="0" equalAverage="0" bottom="0" percent="0" rank="0" text="produzindo" dxfId="502">
      <formula>NOT(ISERROR(SEARCH("produzindo",N44)))</formula>
    </cfRule>
    <cfRule type="containsText" priority="155" operator="containsText" aboveAverage="0" equalAverage="0" bottom="0" percent="0" rank="0" text="material ok" dxfId="503">
      <formula>NOT(ISERROR(SEARCH("material ok",N44)))</formula>
    </cfRule>
  </conditionalFormatting>
  <conditionalFormatting sqref="N81">
    <cfRule type="containsText" priority="156" operator="containsText" aboveAverage="0" equalAverage="0" bottom="0" percent="0" rank="0" text="a montar" dxfId="504">
      <formula>NOT(ISERROR(SEARCH("a montar",N81)))</formula>
    </cfRule>
    <cfRule type="containsText" priority="157" operator="containsText" aboveAverage="0" equalAverage="0" bottom="0" percent="0" rank="0" text="a serrar" dxfId="505">
      <formula>NOT(ISERROR(SEARCH("a serrar",N81)))</formula>
    </cfRule>
    <cfRule type="containsText" priority="158" operator="containsText" aboveAverage="0" equalAverage="0" bottom="0" percent="0" rank="0" text="pronto" dxfId="506">
      <formula>NOT(ISERROR(SEARCH("pronto",N81)))</formula>
    </cfRule>
    <cfRule type="containsText" priority="159" operator="containsText" aboveAverage="0" equalAverage="0" bottom="0" percent="0" rank="0" text="empreita" dxfId="507">
      <formula>NOT(ISERROR(SEARCH("empreita",N81)))</formula>
    </cfRule>
    <cfRule type="containsText" priority="160" operator="containsText" aboveAverage="0" equalAverage="0" bottom="0" percent="0" rank="0" text="previsto" dxfId="508">
      <formula>NOT(ISERROR(SEARCH("previsto",N81)))</formula>
    </cfRule>
    <cfRule type="containsText" priority="161" operator="containsText" aboveAverage="0" equalAverage="0" bottom="0" percent="0" rank="0" text="produzindo" dxfId="509">
      <formula>NOT(ISERROR(SEARCH("produzindo",N81)))</formula>
    </cfRule>
    <cfRule type="containsText" priority="162" operator="containsText" aboveAverage="0" equalAverage="0" bottom="0" percent="0" rank="0" text="material ok" dxfId="510">
      <formula>NOT(ISERROR(SEARCH("material ok",N81)))</formula>
    </cfRule>
    <cfRule type="containsText" priority="163" operator="containsText" aboveAverage="0" equalAverage="0" bottom="0" percent="0" rank="0" text="a montar" dxfId="511">
      <formula>NOT(ISERROR(SEARCH("a montar",N81)))</formula>
    </cfRule>
    <cfRule type="containsText" priority="164" operator="containsText" aboveAverage="0" equalAverage="0" bottom="0" percent="0" rank="0" text="a serrar" dxfId="512">
      <formula>NOT(ISERROR(SEARCH("a serrar",N81)))</formula>
    </cfRule>
    <cfRule type="containsText" priority="165" operator="containsText" aboveAverage="0" equalAverage="0" bottom="0" percent="0" rank="0" text="pronto" dxfId="513">
      <formula>NOT(ISERROR(SEARCH("pronto",N81)))</formula>
    </cfRule>
    <cfRule type="containsText" priority="166" operator="containsText" aboveAverage="0" equalAverage="0" bottom="0" percent="0" rank="0" text="empreita" dxfId="514">
      <formula>NOT(ISERROR(SEARCH("empreita",N81)))</formula>
    </cfRule>
    <cfRule type="containsText" priority="167" operator="containsText" aboveAverage="0" equalAverage="0" bottom="0" percent="0" rank="0" text="previsto" dxfId="515">
      <formula>NOT(ISERROR(SEARCH("previsto",N81)))</formula>
    </cfRule>
    <cfRule type="containsText" priority="168" operator="containsText" aboveAverage="0" equalAverage="0" bottom="0" percent="0" rank="0" text="produzindo" dxfId="516">
      <formula>NOT(ISERROR(SEARCH("produzindo",N81)))</formula>
    </cfRule>
    <cfRule type="containsText" priority="169" operator="containsText" aboveAverage="0" equalAverage="0" bottom="0" percent="0" rank="0" text="material ok" dxfId="517">
      <formula>NOT(ISERROR(SEARCH("material ok",N81)))</formula>
    </cfRule>
  </conditionalFormatting>
  <conditionalFormatting sqref="N54:N55">
    <cfRule type="containsText" priority="170" operator="containsText" aboveAverage="0" equalAverage="0" bottom="0" percent="0" rank="0" text="a montar" dxfId="518">
      <formula>NOT(ISERROR(SEARCH("a montar",N54)))</formula>
    </cfRule>
    <cfRule type="containsText" priority="171" operator="containsText" aboveAverage="0" equalAverage="0" bottom="0" percent="0" rank="0" text="a serrar" dxfId="519">
      <formula>NOT(ISERROR(SEARCH("a serrar",N54)))</formula>
    </cfRule>
    <cfRule type="containsText" priority="172" operator="containsText" aboveAverage="0" equalAverage="0" bottom="0" percent="0" rank="0" text="pronto" dxfId="520">
      <formula>NOT(ISERROR(SEARCH("pronto",N54)))</formula>
    </cfRule>
    <cfRule type="containsText" priority="173" operator="containsText" aboveAverage="0" equalAverage="0" bottom="0" percent="0" rank="0" text="empreita" dxfId="521">
      <formula>NOT(ISERROR(SEARCH("empreita",N54)))</formula>
    </cfRule>
    <cfRule type="containsText" priority="174" operator="containsText" aboveAverage="0" equalAverage="0" bottom="0" percent="0" rank="0" text="previsto" dxfId="522">
      <formula>NOT(ISERROR(SEARCH("previsto",N54)))</formula>
    </cfRule>
    <cfRule type="containsText" priority="175" operator="containsText" aboveAverage="0" equalAverage="0" bottom="0" percent="0" rank="0" text="produzindo" dxfId="523">
      <formula>NOT(ISERROR(SEARCH("produzindo",N54)))</formula>
    </cfRule>
    <cfRule type="containsText" priority="176" operator="containsText" aboveAverage="0" equalAverage="0" bottom="0" percent="0" rank="0" text="material ok" dxfId="524">
      <formula>NOT(ISERROR(SEARCH("material ok",N54)))</formula>
    </cfRule>
  </conditionalFormatting>
  <conditionalFormatting sqref="N53:N55">
    <cfRule type="containsText" priority="177" operator="containsText" aboveAverage="0" equalAverage="0" bottom="0" percent="0" rank="0" text="a montar" dxfId="525">
      <formula>NOT(ISERROR(SEARCH("a montar",N53)))</formula>
    </cfRule>
    <cfRule type="containsText" priority="178" operator="containsText" aboveAverage="0" equalAverage="0" bottom="0" percent="0" rank="0" text="a serrar" dxfId="526">
      <formula>NOT(ISERROR(SEARCH("a serrar",N53)))</formula>
    </cfRule>
    <cfRule type="containsText" priority="179" operator="containsText" aboveAverage="0" equalAverage="0" bottom="0" percent="0" rank="0" text="pronto" dxfId="527">
      <formula>NOT(ISERROR(SEARCH("pronto",N53)))</formula>
    </cfRule>
    <cfRule type="containsText" priority="180" operator="containsText" aboveAverage="0" equalAverage="0" bottom="0" percent="0" rank="0" text="empreita" dxfId="528">
      <formula>NOT(ISERROR(SEARCH("empreita",N53)))</formula>
    </cfRule>
    <cfRule type="containsText" priority="181" operator="containsText" aboveAverage="0" equalAverage="0" bottom="0" percent="0" rank="0" text="previsto" dxfId="529">
      <formula>NOT(ISERROR(SEARCH("previsto",N53)))</formula>
    </cfRule>
    <cfRule type="containsText" priority="182" operator="containsText" aboveAverage="0" equalAverage="0" bottom="0" percent="0" rank="0" text="produzindo" dxfId="530">
      <formula>NOT(ISERROR(SEARCH("produzindo",N53)))</formula>
    </cfRule>
    <cfRule type="containsText" priority="183" operator="containsText" aboveAverage="0" equalAverage="0" bottom="0" percent="0" rank="0" text="material ok" dxfId="531">
      <formula>NOT(ISERROR(SEARCH("material ok",N53)))</formula>
    </cfRule>
  </conditionalFormatting>
  <conditionalFormatting sqref="N53">
    <cfRule type="containsText" priority="184" operator="containsText" aboveAverage="0" equalAverage="0" bottom="0" percent="0" rank="0" text="a montar" dxfId="532">
      <formula>NOT(ISERROR(SEARCH("a montar",N53)))</formula>
    </cfRule>
    <cfRule type="containsText" priority="185" operator="containsText" aboveAverage="0" equalAverage="0" bottom="0" percent="0" rank="0" text="a serrar" dxfId="533">
      <formula>NOT(ISERROR(SEARCH("a serrar",N53)))</formula>
    </cfRule>
    <cfRule type="containsText" priority="186" operator="containsText" aboveAverage="0" equalAverage="0" bottom="0" percent="0" rank="0" text="pronto" dxfId="534">
      <formula>NOT(ISERROR(SEARCH("pronto",N53)))</formula>
    </cfRule>
    <cfRule type="containsText" priority="187" operator="containsText" aboveAverage="0" equalAverage="0" bottom="0" percent="0" rank="0" text="empreita" dxfId="535">
      <formula>NOT(ISERROR(SEARCH("empreita",N53)))</formula>
    </cfRule>
    <cfRule type="containsText" priority="188" operator="containsText" aboveAverage="0" equalAverage="0" bottom="0" percent="0" rank="0" text="previsto" dxfId="536">
      <formula>NOT(ISERROR(SEARCH("previsto",N53)))</formula>
    </cfRule>
    <cfRule type="containsText" priority="189" operator="containsText" aboveAverage="0" equalAverage="0" bottom="0" percent="0" rank="0" text="produzindo" dxfId="537">
      <formula>NOT(ISERROR(SEARCH("produzindo",N53)))</formula>
    </cfRule>
    <cfRule type="containsText" priority="190" operator="containsText" aboveAverage="0" equalAverage="0" bottom="0" percent="0" rank="0" text="material ok" dxfId="538">
      <formula>NOT(ISERROR(SEARCH("material ok",N53)))</formula>
    </cfRule>
  </conditionalFormatting>
  <conditionalFormatting sqref="N36:N37">
    <cfRule type="containsText" priority="191" operator="containsText" aboveAverage="0" equalAverage="0" bottom="0" percent="0" rank="0" text="a montar" dxfId="539">
      <formula>NOT(ISERROR(SEARCH("a montar",N36)))</formula>
    </cfRule>
    <cfRule type="containsText" priority="192" operator="containsText" aboveAverage="0" equalAverage="0" bottom="0" percent="0" rank="0" text="a serrar" dxfId="540">
      <formula>NOT(ISERROR(SEARCH("a serrar",N36)))</formula>
    </cfRule>
    <cfRule type="containsText" priority="193" operator="containsText" aboveAverage="0" equalAverage="0" bottom="0" percent="0" rank="0" text="pronto" dxfId="541">
      <formula>NOT(ISERROR(SEARCH("pronto",N36)))</formula>
    </cfRule>
    <cfRule type="containsText" priority="194" operator="containsText" aboveAverage="0" equalAverage="0" bottom="0" percent="0" rank="0" text="empreita" dxfId="542">
      <formula>NOT(ISERROR(SEARCH("empreita",N36)))</formula>
    </cfRule>
    <cfRule type="containsText" priority="195" operator="containsText" aboveAverage="0" equalAverage="0" bottom="0" percent="0" rank="0" text="previsto" dxfId="543">
      <formula>NOT(ISERROR(SEARCH("previsto",N36)))</formula>
    </cfRule>
    <cfRule type="containsText" priority="196" operator="containsText" aboveAverage="0" equalAverage="0" bottom="0" percent="0" rank="0" text="produzindo" dxfId="544">
      <formula>NOT(ISERROR(SEARCH("produzindo",N36)))</formula>
    </cfRule>
    <cfRule type="containsText" priority="197" operator="containsText" aboveAverage="0" equalAverage="0" bottom="0" percent="0" rank="0" text="material ok" dxfId="545">
      <formula>NOT(ISERROR(SEARCH("material ok",N36)))</formula>
    </cfRule>
  </conditionalFormatting>
  <conditionalFormatting sqref="N36:N38">
    <cfRule type="containsText" priority="198" operator="containsText" aboveAverage="0" equalAverage="0" bottom="0" percent="0" rank="0" text="a montar" dxfId="546">
      <formula>NOT(ISERROR(SEARCH("a montar",N36)))</formula>
    </cfRule>
    <cfRule type="containsText" priority="199" operator="containsText" aboveAverage="0" equalAverage="0" bottom="0" percent="0" rank="0" text="a serrar" dxfId="547">
      <formula>NOT(ISERROR(SEARCH("a serrar",N36)))</formula>
    </cfRule>
    <cfRule type="containsText" priority="200" operator="containsText" aboveAverage="0" equalAverage="0" bottom="0" percent="0" rank="0" text="pronto" dxfId="548">
      <formula>NOT(ISERROR(SEARCH("pronto",N36)))</formula>
    </cfRule>
    <cfRule type="containsText" priority="201" operator="containsText" aboveAverage="0" equalAverage="0" bottom="0" percent="0" rank="0" text="empreita" dxfId="549">
      <formula>NOT(ISERROR(SEARCH("empreita",N36)))</formula>
    </cfRule>
    <cfRule type="containsText" priority="202" operator="containsText" aboveAverage="0" equalAverage="0" bottom="0" percent="0" rank="0" text="previsto" dxfId="550">
      <formula>NOT(ISERROR(SEARCH("previsto",N36)))</formula>
    </cfRule>
    <cfRule type="containsText" priority="203" operator="containsText" aboveAverage="0" equalAverage="0" bottom="0" percent="0" rank="0" text="produzindo" dxfId="551">
      <formula>NOT(ISERROR(SEARCH("produzindo",N36)))</formula>
    </cfRule>
    <cfRule type="containsText" priority="204" operator="containsText" aboveAverage="0" equalAverage="0" bottom="0" percent="0" rank="0" text="material ok" dxfId="552">
      <formula>NOT(ISERROR(SEARCH("material ok",N36)))</formula>
    </cfRule>
  </conditionalFormatting>
  <conditionalFormatting sqref="N41">
    <cfRule type="containsText" priority="205" operator="containsText" aboveAverage="0" equalAverage="0" bottom="0" percent="0" rank="0" text="a montar" dxfId="553">
      <formula>NOT(ISERROR(SEARCH("a montar",N41)))</formula>
    </cfRule>
    <cfRule type="containsText" priority="206" operator="containsText" aboveAverage="0" equalAverage="0" bottom="0" percent="0" rank="0" text="a serrar" dxfId="554">
      <formula>NOT(ISERROR(SEARCH("a serrar",N41)))</formula>
    </cfRule>
    <cfRule type="containsText" priority="207" operator="containsText" aboveAverage="0" equalAverage="0" bottom="0" percent="0" rank="0" text="pronto" dxfId="555">
      <formula>NOT(ISERROR(SEARCH("pronto",N41)))</formula>
    </cfRule>
    <cfRule type="containsText" priority="208" operator="containsText" aboveAverage="0" equalAverage="0" bottom="0" percent="0" rank="0" text="empreita" dxfId="556">
      <formula>NOT(ISERROR(SEARCH("empreita",N41)))</formula>
    </cfRule>
    <cfRule type="containsText" priority="209" operator="containsText" aboveAverage="0" equalAverage="0" bottom="0" percent="0" rank="0" text="previsto" dxfId="557">
      <formula>NOT(ISERROR(SEARCH("previsto",N41)))</formula>
    </cfRule>
    <cfRule type="containsText" priority="210" operator="containsText" aboveAverage="0" equalAverage="0" bottom="0" percent="0" rank="0" text="produzindo" dxfId="558">
      <formula>NOT(ISERROR(SEARCH("produzindo",N41)))</formula>
    </cfRule>
    <cfRule type="containsText" priority="211" operator="containsText" aboveAverage="0" equalAverage="0" bottom="0" percent="0" rank="0" text="material ok" dxfId="559">
      <formula>NOT(ISERROR(SEARCH("material ok",N41)))</formula>
    </cfRule>
  </conditionalFormatting>
  <conditionalFormatting sqref="N40:N42">
    <cfRule type="containsText" priority="212" operator="containsText" aboveAverage="0" equalAverage="0" bottom="0" percent="0" rank="0" text="a montar" dxfId="560">
      <formula>NOT(ISERROR(SEARCH("a montar",N40)))</formula>
    </cfRule>
    <cfRule type="containsText" priority="213" operator="containsText" aboveAverage="0" equalAverage="0" bottom="0" percent="0" rank="0" text="a serrar" dxfId="561">
      <formula>NOT(ISERROR(SEARCH("a serrar",N40)))</formula>
    </cfRule>
    <cfRule type="containsText" priority="214" operator="containsText" aboveAverage="0" equalAverage="0" bottom="0" percent="0" rank="0" text="pronto" dxfId="562">
      <formula>NOT(ISERROR(SEARCH("pronto",N40)))</formula>
    </cfRule>
    <cfRule type="containsText" priority="215" operator="containsText" aboveAverage="0" equalAverage="0" bottom="0" percent="0" rank="0" text="empreita" dxfId="563">
      <formula>NOT(ISERROR(SEARCH("empreita",N40)))</formula>
    </cfRule>
    <cfRule type="containsText" priority="216" operator="containsText" aboveAverage="0" equalAverage="0" bottom="0" percent="0" rank="0" text="previsto" dxfId="564">
      <formula>NOT(ISERROR(SEARCH("previsto",N40)))</formula>
    </cfRule>
    <cfRule type="containsText" priority="217" operator="containsText" aboveAverage="0" equalAverage="0" bottom="0" percent="0" rank="0" text="produzindo" dxfId="565">
      <formula>NOT(ISERROR(SEARCH("produzindo",N40)))</formula>
    </cfRule>
    <cfRule type="containsText" priority="218" operator="containsText" aboveAverage="0" equalAverage="0" bottom="0" percent="0" rank="0" text="material ok" dxfId="566">
      <formula>NOT(ISERROR(SEARCH("material ok",N40)))</formula>
    </cfRule>
  </conditionalFormatting>
  <conditionalFormatting sqref="N51:N55">
    <cfRule type="containsText" priority="219" operator="containsText" aboveAverage="0" equalAverage="0" bottom="0" percent="0" rank="0" text="a montar" dxfId="567">
      <formula>NOT(ISERROR(SEARCH("a montar",N51)))</formula>
    </cfRule>
    <cfRule type="containsText" priority="220" operator="containsText" aboveAverage="0" equalAverage="0" bottom="0" percent="0" rank="0" text="a serrar" dxfId="568">
      <formula>NOT(ISERROR(SEARCH("a serrar",N51)))</formula>
    </cfRule>
    <cfRule type="containsText" priority="221" operator="containsText" aboveAverage="0" equalAverage="0" bottom="0" percent="0" rank="0" text="pronto" dxfId="569">
      <formula>NOT(ISERROR(SEARCH("pronto",N51)))</formula>
    </cfRule>
    <cfRule type="containsText" priority="222" operator="containsText" aboveAverage="0" equalAverage="0" bottom="0" percent="0" rank="0" text="empreita" dxfId="570">
      <formula>NOT(ISERROR(SEARCH("empreita",N51)))</formula>
    </cfRule>
    <cfRule type="containsText" priority="223" operator="containsText" aboveAverage="0" equalAverage="0" bottom="0" percent="0" rank="0" text="previsto" dxfId="571">
      <formula>NOT(ISERROR(SEARCH("previsto",N51)))</formula>
    </cfRule>
    <cfRule type="containsText" priority="224" operator="containsText" aboveAverage="0" equalAverage="0" bottom="0" percent="0" rank="0" text="produzindo" dxfId="572">
      <formula>NOT(ISERROR(SEARCH("produzindo",N51)))</formula>
    </cfRule>
    <cfRule type="containsText" priority="225" operator="containsText" aboveAverage="0" equalAverage="0" bottom="0" percent="0" rank="0" text="material ok" dxfId="573">
      <formula>NOT(ISERROR(SEARCH("material ok",N51)))</formula>
    </cfRule>
  </conditionalFormatting>
  <conditionalFormatting sqref="N50:N55">
    <cfRule type="containsText" priority="226" operator="containsText" aboveAverage="0" equalAverage="0" bottom="0" percent="0" rank="0" text="a montar" dxfId="574">
      <formula>NOT(ISERROR(SEARCH("a montar",N50)))</formula>
    </cfRule>
    <cfRule type="containsText" priority="227" operator="containsText" aboveAverage="0" equalAverage="0" bottom="0" percent="0" rank="0" text="a serrar" dxfId="575">
      <formula>NOT(ISERROR(SEARCH("a serrar",N50)))</formula>
    </cfRule>
    <cfRule type="containsText" priority="228" operator="containsText" aboveAverage="0" equalAverage="0" bottom="0" percent="0" rank="0" text="pronto" dxfId="576">
      <formula>NOT(ISERROR(SEARCH("pronto",N50)))</formula>
    </cfRule>
    <cfRule type="containsText" priority="229" operator="containsText" aboveAverage="0" equalAverage="0" bottom="0" percent="0" rank="0" text="empreita" dxfId="577">
      <formula>NOT(ISERROR(SEARCH("empreita",N50)))</formula>
    </cfRule>
    <cfRule type="containsText" priority="230" operator="containsText" aboveAverage="0" equalAverage="0" bottom="0" percent="0" rank="0" text="previsto" dxfId="578">
      <formula>NOT(ISERROR(SEARCH("previsto",N50)))</formula>
    </cfRule>
    <cfRule type="containsText" priority="231" operator="containsText" aboveAverage="0" equalAverage="0" bottom="0" percent="0" rank="0" text="produzindo" dxfId="579">
      <formula>NOT(ISERROR(SEARCH("produzindo",N50)))</formula>
    </cfRule>
    <cfRule type="containsText" priority="232" operator="containsText" aboveAverage="0" equalAverage="0" bottom="0" percent="0" rank="0" text="material ok" dxfId="580">
      <formula>NOT(ISERROR(SEARCH("material ok",N50)))</formula>
    </cfRule>
  </conditionalFormatting>
  <conditionalFormatting sqref="N17">
    <cfRule type="containsText" priority="233" operator="containsText" aboveAverage="0" equalAverage="0" bottom="0" percent="0" rank="0" text="a montar" dxfId="581">
      <formula>NOT(ISERROR(SEARCH("a montar",N17)))</formula>
    </cfRule>
    <cfRule type="containsText" priority="234" operator="containsText" aboveAverage="0" equalAverage="0" bottom="0" percent="0" rank="0" text="a serrar" dxfId="582">
      <formula>NOT(ISERROR(SEARCH("a serrar",N17)))</formula>
    </cfRule>
    <cfRule type="containsText" priority="235" operator="containsText" aboveAverage="0" equalAverage="0" bottom="0" percent="0" rank="0" text="pronto" dxfId="583">
      <formula>NOT(ISERROR(SEARCH("pronto",N17)))</formula>
    </cfRule>
    <cfRule type="containsText" priority="236" operator="containsText" aboveAverage="0" equalAverage="0" bottom="0" percent="0" rank="0" text="empreita" dxfId="584">
      <formula>NOT(ISERROR(SEARCH("empreita",N17)))</formula>
    </cfRule>
    <cfRule type="containsText" priority="237" operator="containsText" aboveAverage="0" equalAverage="0" bottom="0" percent="0" rank="0" text="previsto" dxfId="585">
      <formula>NOT(ISERROR(SEARCH("previsto",N17)))</formula>
    </cfRule>
    <cfRule type="containsText" priority="238" operator="containsText" aboveAverage="0" equalAverage="0" bottom="0" percent="0" rank="0" text="produzindo" dxfId="586">
      <formula>NOT(ISERROR(SEARCH("produzindo",N17)))</formula>
    </cfRule>
    <cfRule type="containsText" priority="239" operator="containsText" aboveAverage="0" equalAverage="0" bottom="0" percent="0" rank="0" text="material ok" dxfId="587">
      <formula>NOT(ISERROR(SEARCH("material ok",N17)))</formula>
    </cfRule>
  </conditionalFormatting>
  <conditionalFormatting sqref="N16:N24">
    <cfRule type="containsText" priority="240" operator="containsText" aboveAverage="0" equalAverage="0" bottom="0" percent="0" rank="0" text="a montar" dxfId="588">
      <formula>NOT(ISERROR(SEARCH("a montar",N16)))</formula>
    </cfRule>
    <cfRule type="containsText" priority="241" operator="containsText" aboveAverage="0" equalAverage="0" bottom="0" percent="0" rank="0" text="a serrar" dxfId="589">
      <formula>NOT(ISERROR(SEARCH("a serrar",N16)))</formula>
    </cfRule>
    <cfRule type="containsText" priority="242" operator="containsText" aboveAverage="0" equalAverage="0" bottom="0" percent="0" rank="0" text="pronto" dxfId="590">
      <formula>NOT(ISERROR(SEARCH("pronto",N16)))</formula>
    </cfRule>
    <cfRule type="containsText" priority="243" operator="containsText" aboveAverage="0" equalAverage="0" bottom="0" percent="0" rank="0" text="empreita" dxfId="591">
      <formula>NOT(ISERROR(SEARCH("empreita",N16)))</formula>
    </cfRule>
    <cfRule type="containsText" priority="244" operator="containsText" aboveAverage="0" equalAverage="0" bottom="0" percent="0" rank="0" text="previsto" dxfId="592">
      <formula>NOT(ISERROR(SEARCH("previsto",N16)))</formula>
    </cfRule>
    <cfRule type="containsText" priority="245" operator="containsText" aboveAverage="0" equalAverage="0" bottom="0" percent="0" rank="0" text="produzindo" dxfId="593">
      <formula>NOT(ISERROR(SEARCH("produzindo",N16)))</formula>
    </cfRule>
    <cfRule type="containsText" priority="246" operator="containsText" aboveAverage="0" equalAverage="0" bottom="0" percent="0" rank="0" text="material ok" dxfId="594">
      <formula>NOT(ISERROR(SEARCH("material ok",N16)))</formula>
    </cfRule>
  </conditionalFormatting>
  <conditionalFormatting sqref="N26:N34">
    <cfRule type="containsText" priority="247" operator="containsText" aboveAverage="0" equalAverage="0" bottom="0" percent="0" rank="0" text="a montar" dxfId="595">
      <formula>NOT(ISERROR(SEARCH("a montar",N26)))</formula>
    </cfRule>
    <cfRule type="containsText" priority="248" operator="containsText" aboveAverage="0" equalAverage="0" bottom="0" percent="0" rank="0" text="a serrar" dxfId="596">
      <formula>NOT(ISERROR(SEARCH("a serrar",N26)))</formula>
    </cfRule>
    <cfRule type="containsText" priority="249" operator="containsText" aboveAverage="0" equalAverage="0" bottom="0" percent="0" rank="0" text="pronto" dxfId="597">
      <formula>NOT(ISERROR(SEARCH("pronto",N26)))</formula>
    </cfRule>
    <cfRule type="containsText" priority="250" operator="containsText" aboveAverage="0" equalAverage="0" bottom="0" percent="0" rank="0" text="empreita" dxfId="598">
      <formula>NOT(ISERROR(SEARCH("empreita",N26)))</formula>
    </cfRule>
    <cfRule type="containsText" priority="251" operator="containsText" aboveAverage="0" equalAverage="0" bottom="0" percent="0" rank="0" text="previsto" dxfId="599">
      <formula>NOT(ISERROR(SEARCH("previsto",N26)))</formula>
    </cfRule>
    <cfRule type="containsText" priority="252" operator="containsText" aboveAverage="0" equalAverage="0" bottom="0" percent="0" rank="0" text="produzindo" dxfId="600">
      <formula>NOT(ISERROR(SEARCH("produzindo",N26)))</formula>
    </cfRule>
    <cfRule type="containsText" priority="253" operator="containsText" aboveAverage="0" equalAverage="0" bottom="0" percent="0" rank="0" text="material ok" dxfId="601">
      <formula>NOT(ISERROR(SEARCH("material ok",N26)))</formula>
    </cfRule>
  </conditionalFormatting>
  <conditionalFormatting sqref="N18:N35">
    <cfRule type="containsText" priority="254" operator="containsText" aboveAverage="0" equalAverage="0" bottom="0" percent="0" rank="0" text="a montar" dxfId="602">
      <formula>NOT(ISERROR(SEARCH("a montar",N18)))</formula>
    </cfRule>
    <cfRule type="containsText" priority="255" operator="containsText" aboveAverage="0" equalAverage="0" bottom="0" percent="0" rank="0" text="a serrar" dxfId="603">
      <formula>NOT(ISERROR(SEARCH("a serrar",N18)))</formula>
    </cfRule>
    <cfRule type="containsText" priority="256" operator="containsText" aboveAverage="0" equalAverage="0" bottom="0" percent="0" rank="0" text="pronto" dxfId="604">
      <formula>NOT(ISERROR(SEARCH("pronto",N18)))</formula>
    </cfRule>
    <cfRule type="containsText" priority="257" operator="containsText" aboveAverage="0" equalAverage="0" bottom="0" percent="0" rank="0" text="empreita" dxfId="605">
      <formula>NOT(ISERROR(SEARCH("empreita",N18)))</formula>
    </cfRule>
    <cfRule type="containsText" priority="258" operator="containsText" aboveAverage="0" equalAverage="0" bottom="0" percent="0" rank="0" text="previsto" dxfId="606">
      <formula>NOT(ISERROR(SEARCH("previsto",N18)))</formula>
    </cfRule>
    <cfRule type="containsText" priority="259" operator="containsText" aboveAverage="0" equalAverage="0" bottom="0" percent="0" rank="0" text="produzindo" dxfId="607">
      <formula>NOT(ISERROR(SEARCH("produzindo",N18)))</formula>
    </cfRule>
    <cfRule type="containsText" priority="260" operator="containsText" aboveAverage="0" equalAverage="0" bottom="0" percent="0" rank="0" text="material ok" dxfId="608">
      <formula>NOT(ISERROR(SEARCH("material ok",N18)))</formula>
    </cfRule>
  </conditionalFormatting>
  <conditionalFormatting sqref="N12:N13">
    <cfRule type="containsText" priority="261" operator="containsText" aboveAverage="0" equalAverage="0" bottom="0" percent="0" rank="0" text="a montar" dxfId="609">
      <formula>NOT(ISERROR(SEARCH("a montar",N12)))</formula>
    </cfRule>
    <cfRule type="containsText" priority="262" operator="containsText" aboveAverage="0" equalAverage="0" bottom="0" percent="0" rank="0" text="a serrar" dxfId="610">
      <formula>NOT(ISERROR(SEARCH("a serrar",N12)))</formula>
    </cfRule>
    <cfRule type="containsText" priority="263" operator="containsText" aboveAverage="0" equalAverage="0" bottom="0" percent="0" rank="0" text="pronto" dxfId="611">
      <formula>NOT(ISERROR(SEARCH("pronto",N12)))</formula>
    </cfRule>
    <cfRule type="containsText" priority="264" operator="containsText" aboveAverage="0" equalAverage="0" bottom="0" percent="0" rank="0" text="empreita" dxfId="612">
      <formula>NOT(ISERROR(SEARCH("empreita",N12)))</formula>
    </cfRule>
    <cfRule type="containsText" priority="265" operator="containsText" aboveAverage="0" equalAverage="0" bottom="0" percent="0" rank="0" text="previsto" dxfId="613">
      <formula>NOT(ISERROR(SEARCH("previsto",N12)))</formula>
    </cfRule>
    <cfRule type="containsText" priority="266" operator="containsText" aboveAverage="0" equalAverage="0" bottom="0" percent="0" rank="0" text="produzindo" dxfId="614">
      <formula>NOT(ISERROR(SEARCH("produzindo",N12)))</formula>
    </cfRule>
    <cfRule type="containsText" priority="267" operator="containsText" aboveAverage="0" equalAverage="0" bottom="0" percent="0" rank="0" text="material ok" dxfId="615">
      <formula>NOT(ISERROR(SEARCH("material ok",N12)))</formula>
    </cfRule>
  </conditionalFormatting>
  <conditionalFormatting sqref="N12:N14">
    <cfRule type="containsText" priority="268" operator="containsText" aboveAverage="0" equalAverage="0" bottom="0" percent="0" rank="0" text="a montar" dxfId="616">
      <formula>NOT(ISERROR(SEARCH("a montar",N12)))</formula>
    </cfRule>
    <cfRule type="containsText" priority="269" operator="containsText" aboveAverage="0" equalAverage="0" bottom="0" percent="0" rank="0" text="a serrar" dxfId="617">
      <formula>NOT(ISERROR(SEARCH("a serrar",N12)))</formula>
    </cfRule>
    <cfRule type="containsText" priority="270" operator="containsText" aboveAverage="0" equalAverage="0" bottom="0" percent="0" rank="0" text="pronto" dxfId="618">
      <formula>NOT(ISERROR(SEARCH("pronto",N12)))</formula>
    </cfRule>
    <cfRule type="containsText" priority="271" operator="containsText" aboveAverage="0" equalAverage="0" bottom="0" percent="0" rank="0" text="empreita" dxfId="619">
      <formula>NOT(ISERROR(SEARCH("empreita",N12)))</formula>
    </cfRule>
    <cfRule type="containsText" priority="272" operator="containsText" aboveAverage="0" equalAverage="0" bottom="0" percent="0" rank="0" text="previsto" dxfId="620">
      <formula>NOT(ISERROR(SEARCH("previsto",N12)))</formula>
    </cfRule>
    <cfRule type="containsText" priority="273" operator="containsText" aboveAverage="0" equalAverage="0" bottom="0" percent="0" rank="0" text="produzindo" dxfId="621">
      <formula>NOT(ISERROR(SEARCH("produzindo",N12)))</formula>
    </cfRule>
    <cfRule type="containsText" priority="274" operator="containsText" aboveAverage="0" equalAverage="0" bottom="0" percent="0" rank="0" text="material ok" dxfId="622">
      <formula>NOT(ISERROR(SEARCH("material ok",N12)))</formula>
    </cfRule>
  </conditionalFormatting>
  <conditionalFormatting sqref="N1:N10">
    <cfRule type="containsText" priority="275" operator="containsText" aboveAverage="0" equalAverage="0" bottom="0" percent="0" rank="0" text="a montar" dxfId="623">
      <formula>NOT(ISERROR(SEARCH("a montar",N1)))</formula>
    </cfRule>
    <cfRule type="containsText" priority="276" operator="containsText" aboveAverage="0" equalAverage="0" bottom="0" percent="0" rank="0" text="a serrar" dxfId="624">
      <formula>NOT(ISERROR(SEARCH("a serrar",N1)))</formula>
    </cfRule>
    <cfRule type="containsText" priority="277" operator="containsText" aboveAverage="0" equalAverage="0" bottom="0" percent="0" rank="0" text="pronto" dxfId="625">
      <formula>NOT(ISERROR(SEARCH("pronto",N1)))</formula>
    </cfRule>
    <cfRule type="containsText" priority="278" operator="containsText" aboveAverage="0" equalAverage="0" bottom="0" percent="0" rank="0" text="empreita" dxfId="626">
      <formula>NOT(ISERROR(SEARCH("empreita",N1)))</formula>
    </cfRule>
    <cfRule type="containsText" priority="279" operator="containsText" aboveAverage="0" equalAverage="0" bottom="0" percent="0" rank="0" text="previsto" dxfId="627">
      <formula>NOT(ISERROR(SEARCH("previsto",N1)))</formula>
    </cfRule>
    <cfRule type="containsText" priority="280" operator="containsText" aboveAverage="0" equalAverage="0" bottom="0" percent="0" rank="0" text="produzindo" dxfId="628">
      <formula>NOT(ISERROR(SEARCH("produzindo",N1)))</formula>
    </cfRule>
    <cfRule type="containsText" priority="281" operator="containsText" aboveAverage="0" equalAverage="0" bottom="0" percent="0" rank="0" text="material ok" dxfId="629">
      <formula>NOT(ISERROR(SEARCH("material ok",N1)))</formula>
    </cfRule>
  </conditionalFormatting>
  <conditionalFormatting sqref="N106:N109">
    <cfRule type="containsText" priority="282" operator="containsText" aboveAverage="0" equalAverage="0" bottom="0" percent="0" rank="0" text="a montar" dxfId="630">
      <formula>NOT(ISERROR(SEARCH("a montar",N106)))</formula>
    </cfRule>
    <cfRule type="containsText" priority="283" operator="containsText" aboveAverage="0" equalAverage="0" bottom="0" percent="0" rank="0" text="a serrar" dxfId="631">
      <formula>NOT(ISERROR(SEARCH("a serrar",N106)))</formula>
    </cfRule>
    <cfRule type="containsText" priority="284" operator="containsText" aboveAverage="0" equalAverage="0" bottom="0" percent="0" rank="0" text="pronto" dxfId="632">
      <formula>NOT(ISERROR(SEARCH("pronto",N106)))</formula>
    </cfRule>
    <cfRule type="containsText" priority="285" operator="containsText" aboveAverage="0" equalAverage="0" bottom="0" percent="0" rank="0" text="empreita" dxfId="633">
      <formula>NOT(ISERROR(SEARCH("empreita",N106)))</formula>
    </cfRule>
    <cfRule type="containsText" priority="286" operator="containsText" aboveAverage="0" equalAverage="0" bottom="0" percent="0" rank="0" text="previsto" dxfId="634">
      <formula>NOT(ISERROR(SEARCH("previsto",N106)))</formula>
    </cfRule>
    <cfRule type="containsText" priority="287" operator="containsText" aboveAverage="0" equalAverage="0" bottom="0" percent="0" rank="0" text="produzindo" dxfId="635">
      <formula>NOT(ISERROR(SEARCH("produzindo",N106)))</formula>
    </cfRule>
    <cfRule type="containsText" priority="288" operator="containsText" aboveAverage="0" equalAverage="0" bottom="0" percent="0" rank="0" text="material ok" dxfId="636">
      <formula>NOT(ISERROR(SEARCH("material ok",N106)))</formula>
    </cfRule>
  </conditionalFormatting>
  <conditionalFormatting sqref="N111:N114 N130:N131">
    <cfRule type="containsText" priority="289" operator="containsText" aboveAverage="0" equalAverage="0" bottom="0" percent="0" rank="0" text="a montar" dxfId="637">
      <formula>NOT(ISERROR(SEARCH("a montar",N111)))</formula>
    </cfRule>
    <cfRule type="containsText" priority="290" operator="containsText" aboveAverage="0" equalAverage="0" bottom="0" percent="0" rank="0" text="a serrar" dxfId="638">
      <formula>NOT(ISERROR(SEARCH("a serrar",N111)))</formula>
    </cfRule>
    <cfRule type="containsText" priority="291" operator="containsText" aboveAverage="0" equalAverage="0" bottom="0" percent="0" rank="0" text="pronto" dxfId="639">
      <formula>NOT(ISERROR(SEARCH("pronto",N111)))</formula>
    </cfRule>
    <cfRule type="containsText" priority="292" operator="containsText" aboveAverage="0" equalAverage="0" bottom="0" percent="0" rank="0" text="empreita" dxfId="640">
      <formula>NOT(ISERROR(SEARCH("empreita",N111)))</formula>
    </cfRule>
    <cfRule type="containsText" priority="293" operator="containsText" aboveAverage="0" equalAverage="0" bottom="0" percent="0" rank="0" text="previsto" dxfId="641">
      <formula>NOT(ISERROR(SEARCH("previsto",N111)))</formula>
    </cfRule>
    <cfRule type="containsText" priority="294" operator="containsText" aboveAverage="0" equalAverage="0" bottom="0" percent="0" rank="0" text="produzindo" dxfId="642">
      <formula>NOT(ISERROR(SEARCH("produzindo",N111)))</formula>
    </cfRule>
    <cfRule type="containsText" priority="295" operator="containsText" aboveAverage="0" equalAverage="0" bottom="0" percent="0" rank="0" text="material ok" dxfId="643">
      <formula>NOT(ISERROR(SEARCH("material ok",N111)))</formula>
    </cfRule>
  </conditionalFormatting>
  <conditionalFormatting sqref="M1">
    <cfRule type="containsText" priority="296" operator="containsText" aboveAverage="0" equalAverage="0" bottom="0" percent="0" rank="0" text="a montar" dxfId="644">
      <formula>NOT(ISERROR(SEARCH("a montar",M1)))</formula>
    </cfRule>
    <cfRule type="containsText" priority="297" operator="containsText" aboveAverage="0" equalAverage="0" bottom="0" percent="0" rank="0" text="a serrar" dxfId="645">
      <formula>NOT(ISERROR(SEARCH("a serrar",M1)))</formula>
    </cfRule>
    <cfRule type="containsText" priority="298" operator="containsText" aboveAverage="0" equalAverage="0" bottom="0" percent="0" rank="0" text="pronto" dxfId="646">
      <formula>NOT(ISERROR(SEARCH("pronto",M1)))</formula>
    </cfRule>
    <cfRule type="containsText" priority="299" operator="containsText" aboveAverage="0" equalAverage="0" bottom="0" percent="0" rank="0" text="empreita" dxfId="647">
      <formula>NOT(ISERROR(SEARCH("empreita",M1)))</formula>
    </cfRule>
    <cfRule type="containsText" priority="300" operator="containsText" aboveAverage="0" equalAverage="0" bottom="0" percent="0" rank="0" text="previsto" dxfId="648">
      <formula>NOT(ISERROR(SEARCH("previsto",M1)))</formula>
    </cfRule>
    <cfRule type="containsText" priority="301" operator="containsText" aboveAverage="0" equalAverage="0" bottom="0" percent="0" rank="0" text="produzindo" dxfId="649">
      <formula>NOT(ISERROR(SEARCH("produzindo",M1)))</formula>
    </cfRule>
    <cfRule type="containsText" priority="302" operator="containsText" aboveAverage="0" equalAverage="0" bottom="0" percent="0" rank="0" text="material ok" dxfId="650">
      <formula>NOT(ISERROR(SEARCH("material ok",M1)))</formula>
    </cfRule>
  </conditionalFormatting>
  <conditionalFormatting sqref="J1">
    <cfRule type="containsText" priority="303" operator="containsText" aboveAverage="0" equalAverage="0" bottom="0" percent="0" rank="0" text="a montar" dxfId="651">
      <formula>NOT(ISERROR(SEARCH("a montar",J1)))</formula>
    </cfRule>
    <cfRule type="containsText" priority="304" operator="containsText" aboveAverage="0" equalAverage="0" bottom="0" percent="0" rank="0" text="a serrar" dxfId="652">
      <formula>NOT(ISERROR(SEARCH("a serrar",J1)))</formula>
    </cfRule>
    <cfRule type="containsText" priority="305" operator="containsText" aboveAverage="0" equalAverage="0" bottom="0" percent="0" rank="0" text="pronto" dxfId="653">
      <formula>NOT(ISERROR(SEARCH("pronto",J1)))</formula>
    </cfRule>
    <cfRule type="containsText" priority="306" operator="containsText" aboveAverage="0" equalAverage="0" bottom="0" percent="0" rank="0" text="empreita" dxfId="654">
      <formula>NOT(ISERROR(SEARCH("empreita",J1)))</formula>
    </cfRule>
    <cfRule type="containsText" priority="307" operator="containsText" aboveAverage="0" equalAverage="0" bottom="0" percent="0" rank="0" text="previsto" dxfId="655">
      <formula>NOT(ISERROR(SEARCH("previsto",J1)))</formula>
    </cfRule>
    <cfRule type="containsText" priority="308" operator="containsText" aboveAverage="0" equalAverage="0" bottom="0" percent="0" rank="0" text="produzindo" dxfId="656">
      <formula>NOT(ISERROR(SEARCH("produzindo",J1)))</formula>
    </cfRule>
    <cfRule type="containsText" priority="309" operator="containsText" aboveAverage="0" equalAverage="0" bottom="0" percent="0" rank="0" text="material ok" dxfId="657">
      <formula>NOT(ISERROR(SEARCH("material ok",J1)))</formula>
    </cfRule>
  </conditionalFormatting>
  <conditionalFormatting sqref="N8:N10 N14 N76:N82 N84 N94 N96:N98 N116:N118 N120:N128 N133:N173">
    <cfRule type="containsText" priority="310" operator="containsText" aboveAverage="0" equalAverage="0" bottom="0" percent="0" rank="0" text="a montar" dxfId="658">
      <formula>NOT(ISERROR(SEARCH("a montar",N8)))</formula>
    </cfRule>
    <cfRule type="containsText" priority="311" operator="containsText" aboveAverage="0" equalAverage="0" bottom="0" percent="0" rank="0" text="a serrar" dxfId="659">
      <formula>NOT(ISERROR(SEARCH("a serrar",N8)))</formula>
    </cfRule>
    <cfRule type="containsText" priority="312" operator="containsText" aboveAverage="0" equalAverage="0" bottom="0" percent="0" rank="0" text="pronto" dxfId="660">
      <formula>NOT(ISERROR(SEARCH("pronto",N8)))</formula>
    </cfRule>
    <cfRule type="containsText" priority="313" operator="containsText" aboveAverage="0" equalAverage="0" bottom="0" percent="0" rank="0" text="empreita" dxfId="661">
      <formula>NOT(ISERROR(SEARCH("empreita",N8)))</formula>
    </cfRule>
    <cfRule type="containsText" priority="314" operator="containsText" aboveAverage="0" equalAverage="0" bottom="0" percent="0" rank="0" text="previsto" dxfId="662">
      <formula>NOT(ISERROR(SEARCH("previsto",N8)))</formula>
    </cfRule>
    <cfRule type="containsText" priority="315" operator="containsText" aboveAverage="0" equalAverage="0" bottom="0" percent="0" rank="0" text="produzindo" dxfId="663">
      <formula>NOT(ISERROR(SEARCH("produzindo",N8)))</formula>
    </cfRule>
    <cfRule type="containsText" priority="316" operator="containsText" aboveAverage="0" equalAverage="0" bottom="0" percent="0" rank="0" text="material ok" dxfId="664">
      <formula>NOT(ISERROR(SEARCH("material ok",N8)))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44"/>
  <sheetViews>
    <sheetView showFormulas="false" showGridLines="true" showRowColHeaders="true" showZeros="true" rightToLeft="false" tabSelected="false" showOutlineSymbols="true" defaultGridColor="true" view="normal" topLeftCell="A34" colorId="64" zoomScale="100" zoomScaleNormal="100" zoomScalePageLayoutView="100" workbookViewId="0">
      <selection pane="topLeft" activeCell="I59" activeCellId="0" sqref="I59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2" style="0" width="17.71"/>
    <col collapsed="false" customWidth="true" hidden="false" outlineLevel="0" max="3" min="3" style="0" width="17.86"/>
    <col collapsed="false" customWidth="true" hidden="false" outlineLevel="0" max="4" min="4" style="0" width="7.28"/>
    <col collapsed="false" customWidth="true" hidden="false" outlineLevel="0" max="5" min="5" style="0" width="16.86"/>
    <col collapsed="false" customWidth="true" hidden="false" outlineLevel="0" max="6" min="6" style="0" width="10.57"/>
    <col collapsed="false" customWidth="true" hidden="false" outlineLevel="0" max="7" min="7" style="0" width="10.29"/>
    <col collapsed="false" customWidth="true" hidden="false" outlineLevel="0" max="8" min="8" style="0" width="8.43"/>
    <col collapsed="false" customWidth="true" hidden="false" outlineLevel="0" max="10" min="10" style="0" width="7.57"/>
    <col collapsed="false" customWidth="true" hidden="false" outlineLevel="0" max="11" min="11" style="0" width="14.71"/>
    <col collapsed="false" customWidth="true" hidden="false" outlineLevel="0" max="12" min="12" style="0" width="7.28"/>
    <col collapsed="false" customWidth="true" hidden="false" outlineLevel="0" max="13" min="13" style="0" width="13.86"/>
    <col collapsed="false" customWidth="true" hidden="false" outlineLevel="0" max="14" min="14" style="0" width="8.86"/>
    <col collapsed="false" customWidth="true" hidden="false" outlineLevel="0" max="15" min="15" style="0" width="11.43"/>
    <col collapsed="false" customWidth="true" hidden="false" outlineLevel="0" max="16" min="16" style="0" width="12.72"/>
    <col collapsed="false" customWidth="true" hidden="false" outlineLevel="0" max="18" min="18" style="0" width="14.14"/>
  </cols>
  <sheetData>
    <row r="1" customFormat="false" ht="16.4" hidden="false" customHeight="false" outlineLevel="0" collapsed="false">
      <c r="A1" s="1"/>
      <c r="C1" s="2"/>
      <c r="D1" s="1"/>
      <c r="F1" s="1"/>
      <c r="G1" s="1"/>
      <c r="H1" s="1"/>
      <c r="I1" s="1"/>
      <c r="J1" s="3" t="s">
        <v>0</v>
      </c>
      <c r="K1" s="4" t="s">
        <v>1</v>
      </c>
      <c r="L1" s="5" t="s">
        <v>2</v>
      </c>
      <c r="M1" s="6" t="s">
        <v>3</v>
      </c>
      <c r="N1" s="3" t="s">
        <v>4</v>
      </c>
      <c r="O1" s="7" t="s">
        <v>5</v>
      </c>
      <c r="P1" s="8" t="s">
        <v>6</v>
      </c>
      <c r="Q1" s="9" t="s">
        <v>3</v>
      </c>
      <c r="R1" s="10"/>
      <c r="S1" s="11"/>
    </row>
    <row r="2" customFormat="false" ht="15" hidden="false" customHeight="false" outlineLevel="0" collapsed="false">
      <c r="A2" s="1"/>
      <c r="C2" s="2"/>
      <c r="D2" s="1"/>
      <c r="F2" s="1"/>
      <c r="G2" s="1"/>
      <c r="H2" s="1"/>
      <c r="I2" s="1"/>
      <c r="J2" s="1"/>
      <c r="K2" s="12"/>
      <c r="L2" s="13"/>
      <c r="M2" s="14"/>
      <c r="N2" s="15"/>
      <c r="O2" s="10"/>
      <c r="P2" s="1"/>
      <c r="Q2" s="11"/>
      <c r="R2" s="10"/>
      <c r="S2" s="11"/>
    </row>
    <row r="3" customFormat="false" ht="16.4" hidden="false" customHeight="false" outlineLevel="0" collapsed="false">
      <c r="A3" s="16" t="s">
        <v>7</v>
      </c>
      <c r="B3" s="16" t="s">
        <v>8</v>
      </c>
      <c r="C3" s="16" t="s">
        <v>9</v>
      </c>
      <c r="D3" s="16"/>
      <c r="E3" s="16" t="s">
        <v>10</v>
      </c>
      <c r="F3" s="16" t="s">
        <v>11</v>
      </c>
      <c r="G3" s="16" t="s">
        <v>12</v>
      </c>
      <c r="H3" s="17" t="s">
        <v>13</v>
      </c>
      <c r="I3" s="16" t="s">
        <v>14</v>
      </c>
      <c r="J3" s="16" t="s">
        <v>15</v>
      </c>
      <c r="K3" s="16" t="s">
        <v>16</v>
      </c>
      <c r="L3" s="18" t="s">
        <v>17</v>
      </c>
      <c r="M3" s="18" t="s">
        <v>18</v>
      </c>
      <c r="N3" s="19" t="s">
        <v>19</v>
      </c>
      <c r="O3" s="18"/>
      <c r="P3" s="16" t="s">
        <v>20</v>
      </c>
      <c r="Q3" s="20"/>
      <c r="R3" s="21"/>
      <c r="S3" s="16" t="s">
        <v>21</v>
      </c>
    </row>
    <row r="4" customFormat="false" ht="16.4" hidden="false" customHeight="false" outlineLevel="0" collapsed="false">
      <c r="A4" s="1" t="n">
        <v>6143</v>
      </c>
      <c r="B4" s="0" t="s">
        <v>181</v>
      </c>
      <c r="C4" s="0" t="s">
        <v>236</v>
      </c>
      <c r="D4" s="1" t="s">
        <v>53</v>
      </c>
      <c r="E4" s="0" t="s">
        <v>237</v>
      </c>
      <c r="F4" s="1" t="n">
        <v>6.89</v>
      </c>
      <c r="G4" s="1" t="n">
        <v>6.89</v>
      </c>
      <c r="H4" s="1" t="n">
        <f aca="false">-((G4*100/F4)-100)</f>
        <v>-0</v>
      </c>
      <c r="I4" s="33" t="n">
        <v>630</v>
      </c>
      <c r="J4" s="1" t="n">
        <f aca="false">(F4-G4)*I4</f>
        <v>0</v>
      </c>
      <c r="K4" s="1" t="n">
        <f aca="false">G4*I4</f>
        <v>4340.7</v>
      </c>
      <c r="M4" s="23" t="n">
        <v>11913</v>
      </c>
      <c r="N4" s="3" t="s">
        <v>4</v>
      </c>
      <c r="O4" s="23" t="n">
        <v>11913</v>
      </c>
      <c r="P4" s="0" t="s">
        <v>26</v>
      </c>
      <c r="R4" s="10" t="n">
        <f aca="false">(O4-L4)/G4</f>
        <v>1729.02757619739</v>
      </c>
    </row>
    <row r="5" customFormat="false" ht="15" hidden="false" customHeight="false" outlineLevel="0" collapsed="false">
      <c r="A5" s="1"/>
      <c r="D5" s="1"/>
      <c r="F5" s="1"/>
      <c r="G5" s="1"/>
      <c r="H5" s="1"/>
      <c r="J5" s="1"/>
      <c r="K5" s="1" t="n">
        <f aca="false">G5*I5</f>
        <v>0</v>
      </c>
      <c r="M5" s="23"/>
      <c r="N5" s="12"/>
      <c r="O5" s="23"/>
      <c r="R5" s="10"/>
    </row>
    <row r="6" customFormat="false" ht="16.4" hidden="false" customHeight="false" outlineLevel="0" collapsed="false">
      <c r="A6" s="1" t="n">
        <v>6141</v>
      </c>
      <c r="B6" s="0" t="s">
        <v>233</v>
      </c>
      <c r="C6" s="0" t="s">
        <v>51</v>
      </c>
      <c r="D6" s="1" t="s">
        <v>37</v>
      </c>
      <c r="E6" s="0" t="s">
        <v>38</v>
      </c>
      <c r="F6" s="1" t="n">
        <v>1.79</v>
      </c>
      <c r="G6" s="1" t="n">
        <v>1.79</v>
      </c>
      <c r="H6" s="1" t="n">
        <f aca="false">-((G6*100/F6)-100)</f>
        <v>-0</v>
      </c>
      <c r="I6" s="33" t="n">
        <v>450</v>
      </c>
      <c r="J6" s="1" t="n">
        <f aca="false">(F6-G6)*I6</f>
        <v>0</v>
      </c>
      <c r="K6" s="1" t="n">
        <f aca="false">G6*I6</f>
        <v>805.5</v>
      </c>
      <c r="M6" s="23" t="n">
        <v>2677</v>
      </c>
      <c r="N6" s="3" t="s">
        <v>4</v>
      </c>
      <c r="O6" s="23" t="n">
        <v>2677</v>
      </c>
      <c r="P6" s="0" t="s">
        <v>29</v>
      </c>
      <c r="R6" s="10" t="n">
        <f aca="false">(O6-L6)/G6</f>
        <v>1495.53072625698</v>
      </c>
    </row>
    <row r="7" customFormat="false" ht="16.4" hidden="false" customHeight="false" outlineLevel="0" collapsed="false">
      <c r="A7" s="1" t="n">
        <v>6141</v>
      </c>
      <c r="B7" s="0" t="s">
        <v>233</v>
      </c>
      <c r="C7" s="0" t="s">
        <v>154</v>
      </c>
      <c r="D7" s="1" t="s">
        <v>37</v>
      </c>
      <c r="E7" s="0" t="s">
        <v>38</v>
      </c>
      <c r="F7" s="1" t="n">
        <v>1.5</v>
      </c>
      <c r="G7" s="1" t="n">
        <v>1.5</v>
      </c>
      <c r="H7" s="1" t="n">
        <f aca="false">-((G7*100/F7)-100)</f>
        <v>-0</v>
      </c>
      <c r="I7" s="33" t="n">
        <v>450</v>
      </c>
      <c r="J7" s="1" t="n">
        <f aca="false">(F7-G7)*I7</f>
        <v>0</v>
      </c>
      <c r="K7" s="1" t="n">
        <f aca="false">G7*I7</f>
        <v>675</v>
      </c>
      <c r="M7" s="23" t="n">
        <v>2254</v>
      </c>
      <c r="N7" s="3" t="s">
        <v>4</v>
      </c>
      <c r="O7" s="23" t="n">
        <v>2254</v>
      </c>
      <c r="P7" s="0" t="s">
        <v>29</v>
      </c>
      <c r="R7" s="10" t="n">
        <f aca="false">(O7-L7)/G7</f>
        <v>1502.66666666667</v>
      </c>
    </row>
    <row r="8" customFormat="false" ht="16.4" hidden="false" customHeight="false" outlineLevel="0" collapsed="false">
      <c r="A8" s="1" t="n">
        <v>6141</v>
      </c>
      <c r="B8" s="0" t="s">
        <v>233</v>
      </c>
      <c r="C8" s="0" t="s">
        <v>238</v>
      </c>
      <c r="D8" s="1" t="s">
        <v>37</v>
      </c>
      <c r="E8" s="0" t="s">
        <v>38</v>
      </c>
      <c r="F8" s="1" t="n">
        <v>1.49</v>
      </c>
      <c r="G8" s="1" t="n">
        <v>1.49</v>
      </c>
      <c r="H8" s="1" t="n">
        <f aca="false">-((G8*100/F8)-100)</f>
        <v>-0</v>
      </c>
      <c r="I8" s="33" t="n">
        <v>450</v>
      </c>
      <c r="J8" s="1" t="n">
        <f aca="false">(F8-G8)*I8</f>
        <v>0</v>
      </c>
      <c r="K8" s="1" t="n">
        <f aca="false">G8*I8</f>
        <v>670.5</v>
      </c>
      <c r="M8" s="23" t="n">
        <v>2238</v>
      </c>
      <c r="N8" s="3" t="s">
        <v>4</v>
      </c>
      <c r="O8" s="23" t="n">
        <v>2238</v>
      </c>
      <c r="P8" s="0" t="s">
        <v>29</v>
      </c>
      <c r="R8" s="10" t="n">
        <f aca="false">(O8-L8)/G8</f>
        <v>1502.01342281879</v>
      </c>
    </row>
    <row r="9" customFormat="false" ht="16.4" hidden="false" customHeight="false" outlineLevel="0" collapsed="false">
      <c r="A9" s="1" t="n">
        <v>6141</v>
      </c>
      <c r="B9" s="0" t="s">
        <v>233</v>
      </c>
      <c r="C9" s="0" t="s">
        <v>42</v>
      </c>
      <c r="D9" s="1" t="s">
        <v>24</v>
      </c>
      <c r="E9" s="0" t="s">
        <v>35</v>
      </c>
      <c r="F9" s="1" t="n">
        <v>2.82</v>
      </c>
      <c r="G9" s="1" t="n">
        <v>2.43</v>
      </c>
      <c r="H9" s="1" t="n">
        <f aca="false">-((G9*100/F9)-100)</f>
        <v>13.8297872340425</v>
      </c>
      <c r="I9" s="33" t="n">
        <v>284</v>
      </c>
      <c r="J9" s="1" t="n">
        <f aca="false">(F9-G9)*I9</f>
        <v>110.76</v>
      </c>
      <c r="K9" s="1" t="n">
        <f aca="false">G9*I9</f>
        <v>690.12</v>
      </c>
      <c r="M9" s="23" t="n">
        <v>3516</v>
      </c>
      <c r="N9" s="3" t="s">
        <v>4</v>
      </c>
      <c r="O9" s="23" t="n">
        <v>3516</v>
      </c>
      <c r="P9" s="0" t="s">
        <v>29</v>
      </c>
      <c r="R9" s="10" t="n">
        <f aca="false">(O9-L9)/G9</f>
        <v>1446.91358024691</v>
      </c>
    </row>
    <row r="10" customFormat="false" ht="16.4" hidden="false" customHeight="false" outlineLevel="0" collapsed="false">
      <c r="A10" s="1" t="n">
        <v>6141</v>
      </c>
      <c r="B10" s="0" t="s">
        <v>233</v>
      </c>
      <c r="C10" s="0" t="s">
        <v>55</v>
      </c>
      <c r="D10" s="1" t="s">
        <v>37</v>
      </c>
      <c r="E10" s="0" t="s">
        <v>38</v>
      </c>
      <c r="F10" s="1" t="n">
        <v>9.38</v>
      </c>
      <c r="G10" s="1" t="n">
        <v>9.38</v>
      </c>
      <c r="H10" s="1" t="n">
        <f aca="false">-((G10*100/F10)-100)</f>
        <v>-0</v>
      </c>
      <c r="I10" s="33" t="n">
        <v>450</v>
      </c>
      <c r="J10" s="1" t="n">
        <f aca="false">(F10-G10)*I10</f>
        <v>0</v>
      </c>
      <c r="K10" s="1" t="n">
        <f aca="false">G10*I10</f>
        <v>4221</v>
      </c>
      <c r="M10" s="23" t="n">
        <v>14095.5</v>
      </c>
      <c r="N10" s="3" t="s">
        <v>4</v>
      </c>
      <c r="O10" s="23" t="n">
        <v>14095.5</v>
      </c>
      <c r="P10" s="0" t="s">
        <v>26</v>
      </c>
      <c r="R10" s="10" t="n">
        <f aca="false">(O10-L10)/G10</f>
        <v>1502.71855010661</v>
      </c>
    </row>
    <row r="11" customFormat="false" ht="16.4" hidden="false" customHeight="false" outlineLevel="0" collapsed="false">
      <c r="A11" s="1" t="n">
        <v>6141</v>
      </c>
      <c r="B11" s="0" t="s">
        <v>233</v>
      </c>
      <c r="C11" s="0" t="s">
        <v>55</v>
      </c>
      <c r="D11" s="1" t="s">
        <v>37</v>
      </c>
      <c r="E11" s="0" t="s">
        <v>38</v>
      </c>
      <c r="F11" s="1" t="n">
        <v>9.38</v>
      </c>
      <c r="G11" s="1" t="n">
        <v>9.38</v>
      </c>
      <c r="H11" s="1" t="n">
        <f aca="false">-((G11*100/F11)-100)</f>
        <v>-0</v>
      </c>
      <c r="I11" s="33" t="n">
        <v>450</v>
      </c>
      <c r="J11" s="1" t="n">
        <f aca="false">(F11-G11)*I11</f>
        <v>0</v>
      </c>
      <c r="K11" s="1" t="n">
        <f aca="false">G11*I11</f>
        <v>4221</v>
      </c>
      <c r="M11" s="23" t="n">
        <v>14095.5</v>
      </c>
      <c r="N11" s="3" t="s">
        <v>4</v>
      </c>
      <c r="O11" s="23" t="n">
        <v>14095.5</v>
      </c>
      <c r="P11" s="0" t="s">
        <v>29</v>
      </c>
      <c r="R11" s="10" t="n">
        <f aca="false">(O11-L11)/G11</f>
        <v>1502.71855010661</v>
      </c>
    </row>
    <row r="12" customFormat="false" ht="15" hidden="false" customHeight="false" outlineLevel="0" collapsed="false">
      <c r="A12" s="1"/>
      <c r="D12" s="1"/>
      <c r="F12" s="1"/>
      <c r="G12" s="1"/>
      <c r="H12" s="1"/>
      <c r="I12" s="1"/>
      <c r="J12" s="1"/>
      <c r="K12" s="1" t="n">
        <f aca="false">G12*I12</f>
        <v>0</v>
      </c>
      <c r="M12" s="23"/>
      <c r="N12" s="12"/>
      <c r="O12" s="23"/>
      <c r="R12" s="10"/>
    </row>
    <row r="13" customFormat="false" ht="16.4" hidden="false" customHeight="false" outlineLevel="0" collapsed="false">
      <c r="A13" s="1" t="n">
        <v>6085</v>
      </c>
      <c r="B13" s="0" t="s">
        <v>239</v>
      </c>
      <c r="C13" s="0" t="s">
        <v>240</v>
      </c>
      <c r="D13" s="1" t="s">
        <v>24</v>
      </c>
      <c r="E13" s="0" t="s">
        <v>241</v>
      </c>
      <c r="F13" s="1" t="n">
        <v>8.16</v>
      </c>
      <c r="G13" s="1" t="n">
        <v>8.16</v>
      </c>
      <c r="H13" s="1" t="n">
        <f aca="false">-((G13*100/F13)-100)</f>
        <v>-0</v>
      </c>
      <c r="I13" s="33" t="n">
        <v>253</v>
      </c>
      <c r="J13" s="1" t="n">
        <f aca="false">(F13-G13)*I13</f>
        <v>0</v>
      </c>
      <c r="K13" s="1" t="n">
        <f aca="false">G13*I13</f>
        <v>2064.48</v>
      </c>
      <c r="M13" s="23" t="n">
        <v>19995</v>
      </c>
      <c r="N13" s="3" t="s">
        <v>4</v>
      </c>
      <c r="O13" s="23" t="n">
        <v>19995</v>
      </c>
      <c r="P13" s="0" t="s">
        <v>26</v>
      </c>
      <c r="R13" s="10" t="n">
        <f aca="false">(O13-L13)/G13</f>
        <v>2450.36764705882</v>
      </c>
    </row>
    <row r="14" customFormat="false" ht="15" hidden="false" customHeight="false" outlineLevel="0" collapsed="false">
      <c r="F14" s="1"/>
      <c r="G14" s="1"/>
      <c r="J14" s="1"/>
      <c r="K14" s="1" t="n">
        <f aca="false">G14*I14</f>
        <v>0</v>
      </c>
    </row>
    <row r="15" customFormat="false" ht="16.4" hidden="false" customHeight="false" outlineLevel="0" collapsed="false">
      <c r="A15" s="1" t="n">
        <v>6133</v>
      </c>
      <c r="B15" s="0" t="s">
        <v>218</v>
      </c>
      <c r="C15" s="0" t="s">
        <v>51</v>
      </c>
      <c r="D15" s="1" t="s">
        <v>24</v>
      </c>
      <c r="E15" s="0" t="s">
        <v>28</v>
      </c>
      <c r="F15" s="1" t="n">
        <v>3.49</v>
      </c>
      <c r="G15" s="1" t="n">
        <v>3.49</v>
      </c>
      <c r="H15" s="1" t="n">
        <f aca="false">-((G15*100/F15)-100)</f>
        <v>-0</v>
      </c>
      <c r="I15" s="33" t="n">
        <v>224</v>
      </c>
      <c r="J15" s="1" t="n">
        <f aca="false">(F15-G15)*I15</f>
        <v>0</v>
      </c>
      <c r="K15" s="1" t="n">
        <f aca="false">G15*I15</f>
        <v>781.76</v>
      </c>
      <c r="M15" s="23" t="n">
        <v>4215</v>
      </c>
      <c r="N15" s="3" t="s">
        <v>4</v>
      </c>
      <c r="O15" s="23" t="n">
        <v>4215</v>
      </c>
      <c r="P15" s="0" t="s">
        <v>29</v>
      </c>
      <c r="R15" s="10" t="n">
        <f aca="false">(O15-L15)/G15</f>
        <v>1207.73638968481</v>
      </c>
    </row>
    <row r="16" customFormat="false" ht="15" hidden="false" customHeight="false" outlineLevel="0" collapsed="false">
      <c r="A16" s="1"/>
      <c r="D16" s="1"/>
      <c r="F16" s="1"/>
      <c r="G16" s="1"/>
      <c r="H16" s="1"/>
      <c r="J16" s="1"/>
      <c r="K16" s="1" t="n">
        <f aca="false">G16*I16</f>
        <v>0</v>
      </c>
      <c r="M16" s="23"/>
      <c r="N16" s="3"/>
      <c r="O16" s="23"/>
      <c r="R16" s="10"/>
    </row>
    <row r="17" customFormat="false" ht="16.4" hidden="false" customHeight="false" outlineLevel="0" collapsed="false">
      <c r="A17" s="1" t="n">
        <v>6145</v>
      </c>
      <c r="B17" s="0" t="s">
        <v>159</v>
      </c>
      <c r="C17" s="0" t="s">
        <v>242</v>
      </c>
      <c r="D17" s="1" t="s">
        <v>24</v>
      </c>
      <c r="E17" s="0" t="s">
        <v>243</v>
      </c>
      <c r="F17" s="1" t="n">
        <v>8.16</v>
      </c>
      <c r="G17" s="1" t="n">
        <v>8.16</v>
      </c>
      <c r="H17" s="1" t="n">
        <f aca="false">-((G17*100/F17)-100)</f>
        <v>-0</v>
      </c>
      <c r="I17" s="33" t="n">
        <v>280</v>
      </c>
      <c r="J17" s="1" t="n">
        <f aca="false">(F17-G17)*I17</f>
        <v>0</v>
      </c>
      <c r="K17" s="1" t="n">
        <f aca="false">G17*I17</f>
        <v>2284.8</v>
      </c>
      <c r="M17" s="23" t="n">
        <v>7423</v>
      </c>
      <c r="N17" s="3" t="s">
        <v>4</v>
      </c>
      <c r="O17" s="23" t="n">
        <v>7423</v>
      </c>
      <c r="P17" s="0" t="s">
        <v>29</v>
      </c>
      <c r="R17" s="10" t="n">
        <f aca="false">(O17-L17)/G17</f>
        <v>909.68137254902</v>
      </c>
    </row>
    <row r="18" customFormat="false" ht="16.4" hidden="false" customHeight="false" outlineLevel="0" collapsed="false">
      <c r="A18" s="1" t="n">
        <v>6145</v>
      </c>
      <c r="B18" s="0" t="s">
        <v>159</v>
      </c>
      <c r="C18" s="0" t="s">
        <v>244</v>
      </c>
      <c r="D18" s="1" t="s">
        <v>37</v>
      </c>
      <c r="E18" s="0" t="s">
        <v>38</v>
      </c>
      <c r="F18" s="1" t="n">
        <v>0.97</v>
      </c>
      <c r="G18" s="1" t="n">
        <v>0.97</v>
      </c>
      <c r="H18" s="1"/>
      <c r="I18" s="33" t="n">
        <v>450</v>
      </c>
      <c r="J18" s="1"/>
      <c r="K18" s="1" t="n">
        <f aca="false">G18*I18</f>
        <v>436.5</v>
      </c>
      <c r="M18" s="23" t="n">
        <v>1474</v>
      </c>
      <c r="N18" s="3" t="s">
        <v>4</v>
      </c>
      <c r="O18" s="23" t="n">
        <v>1474</v>
      </c>
      <c r="P18" s="0" t="s">
        <v>29</v>
      </c>
      <c r="R18" s="10"/>
    </row>
    <row r="19" customFormat="false" ht="15" hidden="false" customHeight="false" outlineLevel="0" collapsed="false">
      <c r="A19" s="1"/>
      <c r="D19" s="1"/>
      <c r="F19" s="1"/>
      <c r="G19" s="1"/>
      <c r="H19" s="1"/>
      <c r="J19" s="1"/>
      <c r="K19" s="1" t="n">
        <f aca="false">G19*I19</f>
        <v>0</v>
      </c>
      <c r="M19" s="23"/>
      <c r="N19" s="3"/>
      <c r="O19" s="23"/>
      <c r="R19" s="10"/>
    </row>
    <row r="20" customFormat="false" ht="16.4" hidden="false" customHeight="false" outlineLevel="0" collapsed="false">
      <c r="A20" s="1" t="n">
        <v>6122</v>
      </c>
      <c r="B20" s="0" t="s">
        <v>245</v>
      </c>
      <c r="C20" s="0" t="s">
        <v>59</v>
      </c>
      <c r="D20" s="1" t="s">
        <v>53</v>
      </c>
      <c r="E20" s="0" t="s">
        <v>68</v>
      </c>
      <c r="F20" s="1" t="n">
        <v>2.2</v>
      </c>
      <c r="G20" s="1" t="n">
        <v>2.2</v>
      </c>
      <c r="H20" s="1" t="n">
        <f aca="false">-((G20*100/F20)-100)</f>
        <v>-0</v>
      </c>
      <c r="I20" s="33" t="n">
        <v>582</v>
      </c>
      <c r="J20" s="1" t="n">
        <f aca="false">(F20-G20)*I20</f>
        <v>0</v>
      </c>
      <c r="K20" s="1" t="n">
        <f aca="false">G20*I20</f>
        <v>1280.4</v>
      </c>
      <c r="M20" s="23" t="n">
        <v>3352</v>
      </c>
      <c r="N20" s="3" t="s">
        <v>4</v>
      </c>
      <c r="O20" s="23" t="n">
        <v>3352</v>
      </c>
      <c r="P20" s="0" t="s">
        <v>26</v>
      </c>
      <c r="R20" s="10" t="n">
        <f aca="false">(O20-L20)/G20</f>
        <v>1523.63636363636</v>
      </c>
    </row>
    <row r="21" customFormat="false" ht="16.4" hidden="false" customHeight="false" outlineLevel="0" collapsed="false">
      <c r="A21" s="1" t="n">
        <v>6122</v>
      </c>
      <c r="B21" s="0" t="s">
        <v>245</v>
      </c>
      <c r="C21" s="0" t="s">
        <v>246</v>
      </c>
      <c r="D21" s="1" t="s">
        <v>24</v>
      </c>
      <c r="E21" s="0" t="s">
        <v>247</v>
      </c>
      <c r="F21" s="1" t="n">
        <v>4.64</v>
      </c>
      <c r="G21" s="1" t="n">
        <v>4.64</v>
      </c>
      <c r="H21" s="1" t="n">
        <f aca="false">-((G21*100/F21)-100)</f>
        <v>-0</v>
      </c>
      <c r="I21" s="33" t="n">
        <v>162</v>
      </c>
      <c r="J21" s="1" t="n">
        <f aca="false">(F21-G21)*I21</f>
        <v>0</v>
      </c>
      <c r="K21" s="1" t="n">
        <f aca="false">G21*I21</f>
        <v>751.68</v>
      </c>
      <c r="M21" s="23" t="n">
        <v>5383</v>
      </c>
      <c r="N21" s="3" t="s">
        <v>4</v>
      </c>
      <c r="O21" s="23" t="n">
        <v>5383</v>
      </c>
      <c r="P21" s="0" t="s">
        <v>26</v>
      </c>
      <c r="R21" s="10" t="n">
        <f aca="false">(O21-L21)/G21</f>
        <v>1160.12931034483</v>
      </c>
    </row>
    <row r="22" customFormat="false" ht="15" hidden="false" customHeight="false" outlineLevel="0" collapsed="false">
      <c r="A22" s="1"/>
      <c r="D22" s="1"/>
      <c r="F22" s="1"/>
      <c r="G22" s="1"/>
      <c r="H22" s="1"/>
      <c r="J22" s="1"/>
      <c r="K22" s="1" t="n">
        <f aca="false">G22*I22</f>
        <v>0</v>
      </c>
      <c r="M22" s="23"/>
      <c r="N22" s="12"/>
      <c r="O22" s="23"/>
      <c r="R22" s="10"/>
    </row>
    <row r="23" customFormat="false" ht="16.4" hidden="false" customHeight="false" outlineLevel="0" collapsed="false">
      <c r="A23" s="1" t="n">
        <v>6138</v>
      </c>
      <c r="B23" s="0" t="s">
        <v>248</v>
      </c>
      <c r="C23" s="0" t="s">
        <v>249</v>
      </c>
      <c r="D23" s="1" t="s">
        <v>24</v>
      </c>
      <c r="E23" s="0" t="s">
        <v>35</v>
      </c>
      <c r="F23" s="1" t="n">
        <v>3.49</v>
      </c>
      <c r="G23" s="1" t="n">
        <v>3.49</v>
      </c>
      <c r="H23" s="1" t="n">
        <f aca="false">-((G23*100/F23)-100)</f>
        <v>-0</v>
      </c>
      <c r="I23" s="33" t="n">
        <v>284</v>
      </c>
      <c r="J23" s="1" t="n">
        <f aca="false">(F23-G23)*I23</f>
        <v>0</v>
      </c>
      <c r="K23" s="1" t="n">
        <f aca="false">G23*I23</f>
        <v>991.16</v>
      </c>
      <c r="M23" s="23" t="n">
        <v>2831</v>
      </c>
      <c r="N23" s="3" t="s">
        <v>4</v>
      </c>
      <c r="O23" s="23" t="n">
        <v>2831</v>
      </c>
      <c r="P23" s="0" t="s">
        <v>31</v>
      </c>
      <c r="R23" s="10" t="n">
        <f aca="false">(O23-L23)/G23</f>
        <v>811.174785100287</v>
      </c>
    </row>
    <row r="24" customFormat="false" ht="16.4" hidden="false" customHeight="false" outlineLevel="0" collapsed="false">
      <c r="A24" s="1" t="n">
        <v>6138</v>
      </c>
      <c r="B24" s="0" t="s">
        <v>248</v>
      </c>
      <c r="C24" s="0" t="s">
        <v>250</v>
      </c>
      <c r="D24" s="1"/>
      <c r="F24" s="1"/>
      <c r="G24" s="1"/>
      <c r="H24" s="1" t="e">
        <f aca="false">-((G24*100/F24)-100)</f>
        <v>#DIV/0!</v>
      </c>
      <c r="J24" s="1" t="n">
        <f aca="false">(F24-G24)*I24</f>
        <v>0</v>
      </c>
      <c r="K24" s="1" t="n">
        <f aca="false">G24*I24</f>
        <v>0</v>
      </c>
      <c r="M24" s="23" t="n">
        <v>407</v>
      </c>
      <c r="N24" s="3" t="s">
        <v>4</v>
      </c>
      <c r="O24" s="23" t="n">
        <v>407</v>
      </c>
      <c r="P24" s="0" t="s">
        <v>31</v>
      </c>
      <c r="R24" s="10" t="e">
        <f aca="false">(O24-L24)/G24</f>
        <v>#DIV/0!</v>
      </c>
    </row>
    <row r="25" customFormat="false" ht="15" hidden="false" customHeight="false" outlineLevel="0" collapsed="false">
      <c r="A25" s="1"/>
      <c r="D25" s="1"/>
      <c r="F25" s="1"/>
      <c r="G25" s="1"/>
      <c r="H25" s="1"/>
      <c r="J25" s="1"/>
      <c r="K25" s="1" t="n">
        <f aca="false">G25*I25</f>
        <v>0</v>
      </c>
      <c r="M25" s="23"/>
      <c r="N25" s="12"/>
      <c r="O25" s="23"/>
      <c r="R25" s="10"/>
    </row>
    <row r="26" customFormat="false" ht="16.4" hidden="false" customHeight="false" outlineLevel="0" collapsed="false">
      <c r="A26" s="1" t="n">
        <v>6125</v>
      </c>
      <c r="B26" s="0" t="s">
        <v>180</v>
      </c>
      <c r="C26" s="0" t="s">
        <v>251</v>
      </c>
      <c r="D26" s="1" t="s">
        <v>53</v>
      </c>
      <c r="E26" s="0" t="s">
        <v>68</v>
      </c>
      <c r="F26" s="1" t="n">
        <v>0.44</v>
      </c>
      <c r="G26" s="1" t="n">
        <v>0.44</v>
      </c>
      <c r="H26" s="1" t="n">
        <f aca="false">-((G26*100/F26)-100)</f>
        <v>-0</v>
      </c>
      <c r="I26" s="33" t="n">
        <v>582</v>
      </c>
      <c r="J26" s="1" t="n">
        <f aca="false">(F26-G26)*I26</f>
        <v>0</v>
      </c>
      <c r="K26" s="1" t="n">
        <f aca="false">G26*I26</f>
        <v>256.08</v>
      </c>
      <c r="M26" s="23" t="n">
        <v>752</v>
      </c>
      <c r="N26" s="3" t="s">
        <v>4</v>
      </c>
      <c r="O26" s="23" t="n">
        <v>752</v>
      </c>
      <c r="P26" s="0" t="s">
        <v>26</v>
      </c>
      <c r="R26" s="10" t="n">
        <f aca="false">(O26-L26)/G26</f>
        <v>1709.09090909091</v>
      </c>
    </row>
    <row r="27" customFormat="false" ht="16.4" hidden="false" customHeight="false" outlineLevel="0" collapsed="false">
      <c r="A27" s="1" t="n">
        <v>6125</v>
      </c>
      <c r="B27" s="0" t="s">
        <v>180</v>
      </c>
      <c r="C27" s="0" t="s">
        <v>252</v>
      </c>
      <c r="D27" s="1" t="s">
        <v>37</v>
      </c>
      <c r="E27" s="0" t="s">
        <v>38</v>
      </c>
      <c r="F27" s="1" t="n">
        <v>0.49</v>
      </c>
      <c r="G27" s="1" t="n">
        <v>0.49</v>
      </c>
      <c r="H27" s="1" t="n">
        <f aca="false">-((G27*100/F27)-100)</f>
        <v>-0</v>
      </c>
      <c r="I27" s="33" t="n">
        <v>450</v>
      </c>
      <c r="J27" s="1" t="n">
        <f aca="false">(F27-G27)*I27</f>
        <v>0</v>
      </c>
      <c r="K27" s="1" t="n">
        <f aca="false">G27*I27</f>
        <v>220.5</v>
      </c>
      <c r="M27" s="23" t="n">
        <v>761</v>
      </c>
      <c r="N27" s="3" t="s">
        <v>4</v>
      </c>
      <c r="O27" s="23" t="n">
        <v>761</v>
      </c>
      <c r="P27" s="0" t="s">
        <v>26</v>
      </c>
      <c r="R27" s="10" t="n">
        <f aca="false">(O27-L27)/G27</f>
        <v>1553.0612244898</v>
      </c>
    </row>
    <row r="28" customFormat="false" ht="15" hidden="false" customHeight="false" outlineLevel="0" collapsed="false">
      <c r="A28" s="1"/>
      <c r="D28" s="1"/>
      <c r="F28" s="1"/>
      <c r="G28" s="1"/>
      <c r="H28" s="1"/>
      <c r="I28" s="1"/>
      <c r="J28" s="1"/>
      <c r="K28" s="1" t="n">
        <f aca="false">G28*I28</f>
        <v>0</v>
      </c>
      <c r="M28" s="23"/>
      <c r="N28" s="3"/>
      <c r="O28" s="23"/>
      <c r="R28" s="10"/>
    </row>
    <row r="29" customFormat="false" ht="16.4" hidden="false" customHeight="false" outlineLevel="0" collapsed="false">
      <c r="A29" s="1" t="n">
        <v>6109</v>
      </c>
      <c r="B29" s="0" t="s">
        <v>253</v>
      </c>
      <c r="C29" s="0" t="s">
        <v>138</v>
      </c>
      <c r="D29" s="1" t="s">
        <v>24</v>
      </c>
      <c r="E29" s="0" t="s">
        <v>254</v>
      </c>
      <c r="F29" s="1" t="n">
        <v>2.98</v>
      </c>
      <c r="G29" s="1" t="n">
        <v>2.98</v>
      </c>
      <c r="H29" s="1" t="n">
        <f aca="false">-((G29*100/F29)-100)</f>
        <v>-0</v>
      </c>
      <c r="I29" s="33" t="n">
        <v>289</v>
      </c>
      <c r="J29" s="1" t="n">
        <f aca="false">(F29-G29)*I29</f>
        <v>0</v>
      </c>
      <c r="K29" s="1" t="n">
        <f aca="false">G29*I29</f>
        <v>861.22</v>
      </c>
      <c r="M29" s="23" t="n">
        <v>3922</v>
      </c>
      <c r="N29" s="3" t="s">
        <v>4</v>
      </c>
      <c r="O29" s="23" t="n">
        <v>3922</v>
      </c>
      <c r="P29" s="0" t="s">
        <v>26</v>
      </c>
      <c r="R29" s="10" t="n">
        <f aca="false">(O29-L29)/G29</f>
        <v>1316.10738255034</v>
      </c>
    </row>
    <row r="30" customFormat="false" ht="15" hidden="false" customHeight="false" outlineLevel="0" collapsed="false">
      <c r="A30" s="1"/>
      <c r="D30" s="1"/>
      <c r="F30" s="1"/>
      <c r="G30" s="1"/>
      <c r="H30" s="1"/>
      <c r="I30" s="1"/>
      <c r="J30" s="1"/>
      <c r="K30" s="1" t="n">
        <f aca="false">G30*I30</f>
        <v>0</v>
      </c>
      <c r="M30" s="23"/>
      <c r="N30" s="3"/>
      <c r="O30" s="23"/>
      <c r="R30" s="10"/>
    </row>
    <row r="31" customFormat="false" ht="16.4" hidden="false" customHeight="false" outlineLevel="0" collapsed="false">
      <c r="A31" s="1" t="n">
        <v>6129</v>
      </c>
      <c r="B31" s="0" t="s">
        <v>255</v>
      </c>
      <c r="C31" s="0" t="s">
        <v>55</v>
      </c>
      <c r="D31" s="1" t="s">
        <v>53</v>
      </c>
      <c r="E31" s="0" t="s">
        <v>68</v>
      </c>
      <c r="F31" s="1" t="n">
        <v>10.97</v>
      </c>
      <c r="G31" s="1" t="n">
        <v>10.97</v>
      </c>
      <c r="H31" s="1" t="n">
        <f aca="false">-((G31*100/F31)-100)</f>
        <v>-0</v>
      </c>
      <c r="I31" s="33" t="n">
        <v>582</v>
      </c>
      <c r="J31" s="1" t="n">
        <f aca="false">(F31-G31)*I31</f>
        <v>0</v>
      </c>
      <c r="K31" s="1" t="n">
        <f aca="false">G31*I31</f>
        <v>6384.54</v>
      </c>
      <c r="M31" s="23" t="n">
        <v>23600</v>
      </c>
      <c r="N31" s="3" t="s">
        <v>4</v>
      </c>
      <c r="O31" s="23" t="n">
        <v>23600</v>
      </c>
      <c r="P31" s="1" t="s">
        <v>29</v>
      </c>
      <c r="R31" s="10" t="n">
        <f aca="false">(O31-L31)/G31</f>
        <v>2151.32178669098</v>
      </c>
    </row>
    <row r="32" customFormat="false" ht="15" hidden="false" customHeight="false" outlineLevel="0" collapsed="false">
      <c r="A32" s="1"/>
      <c r="D32" s="1"/>
      <c r="F32" s="1"/>
      <c r="G32" s="1"/>
      <c r="H32" s="1"/>
      <c r="I32" s="1"/>
      <c r="J32" s="1"/>
      <c r="K32" s="1" t="n">
        <f aca="false">G32*I32</f>
        <v>0</v>
      </c>
      <c r="M32" s="23"/>
      <c r="N32" s="1"/>
      <c r="O32" s="23"/>
      <c r="P32" s="1"/>
      <c r="R32" s="10"/>
    </row>
    <row r="33" customFormat="false" ht="16.4" hidden="false" customHeight="false" outlineLevel="0" collapsed="false">
      <c r="A33" s="1" t="n">
        <v>6148</v>
      </c>
      <c r="B33" s="0" t="s">
        <v>256</v>
      </c>
      <c r="C33" s="0" t="s">
        <v>62</v>
      </c>
      <c r="D33" s="1" t="s">
        <v>24</v>
      </c>
      <c r="E33" s="0" t="s">
        <v>257</v>
      </c>
      <c r="F33" s="1" t="n">
        <v>2.45</v>
      </c>
      <c r="G33" s="1" t="n">
        <v>2.45</v>
      </c>
      <c r="H33" s="1" t="n">
        <f aca="false">-((G33*100/F33)-100)</f>
        <v>-0</v>
      </c>
      <c r="I33" s="33" t="n">
        <v>138</v>
      </c>
      <c r="J33" s="1" t="n">
        <f aca="false">(F33-G33)*I33</f>
        <v>0</v>
      </c>
      <c r="K33" s="1" t="n">
        <f aca="false">G33*I33</f>
        <v>338.1</v>
      </c>
      <c r="M33" s="23" t="n">
        <v>2000</v>
      </c>
      <c r="N33" s="3" t="s">
        <v>4</v>
      </c>
      <c r="O33" s="23" t="n">
        <v>2000</v>
      </c>
      <c r="P33" s="0" t="s">
        <v>26</v>
      </c>
      <c r="R33" s="10" t="n">
        <f aca="false">(O33-L33)/G33</f>
        <v>816.326530612245</v>
      </c>
    </row>
    <row r="34" customFormat="false" ht="16.4" hidden="false" customHeight="false" outlineLevel="0" collapsed="false">
      <c r="A34" s="1" t="n">
        <v>6148</v>
      </c>
      <c r="B34" s="0" t="s">
        <v>256</v>
      </c>
      <c r="C34" s="0" t="s">
        <v>67</v>
      </c>
      <c r="D34" s="1" t="s">
        <v>24</v>
      </c>
      <c r="E34" s="0" t="s">
        <v>257</v>
      </c>
      <c r="F34" s="1" t="n">
        <v>3.36</v>
      </c>
      <c r="G34" s="1" t="n">
        <v>3.36</v>
      </c>
      <c r="H34" s="1" t="n">
        <f aca="false">-((G34*100/F34)-100)</f>
        <v>-0</v>
      </c>
      <c r="I34" s="33" t="n">
        <v>138</v>
      </c>
      <c r="J34" s="1" t="n">
        <f aca="false">(F34-G34)*I34</f>
        <v>0</v>
      </c>
      <c r="K34" s="1" t="n">
        <f aca="false">G34*I34</f>
        <v>463.68</v>
      </c>
      <c r="M34" s="23" t="n">
        <v>3000</v>
      </c>
      <c r="N34" s="3" t="s">
        <v>4</v>
      </c>
      <c r="O34" s="23" t="n">
        <v>3000</v>
      </c>
      <c r="P34" s="0" t="s">
        <v>26</v>
      </c>
      <c r="R34" s="10" t="n">
        <f aca="false">(O34-L34)/G34</f>
        <v>892.857142857143</v>
      </c>
    </row>
    <row r="35" customFormat="false" ht="16.4" hidden="false" customHeight="false" outlineLevel="0" collapsed="false">
      <c r="A35" s="1" t="n">
        <v>6148</v>
      </c>
      <c r="B35" s="0" t="s">
        <v>256</v>
      </c>
      <c r="C35" s="0" t="s">
        <v>258</v>
      </c>
      <c r="D35" s="1" t="s">
        <v>24</v>
      </c>
      <c r="E35" s="0" t="s">
        <v>257</v>
      </c>
      <c r="F35" s="1" t="n">
        <v>0.91</v>
      </c>
      <c r="G35" s="1" t="n">
        <v>0.91</v>
      </c>
      <c r="H35" s="1" t="n">
        <f aca="false">-((G35*100/F35)-100)</f>
        <v>-0</v>
      </c>
      <c r="I35" s="33" t="n">
        <v>138</v>
      </c>
      <c r="J35" s="1" t="n">
        <f aca="false">(F35-G35)*I35</f>
        <v>0</v>
      </c>
      <c r="K35" s="1" t="n">
        <f aca="false">G35*I35</f>
        <v>125.58</v>
      </c>
      <c r="M35" s="23" t="n">
        <v>800</v>
      </c>
      <c r="N35" s="3" t="s">
        <v>4</v>
      </c>
      <c r="O35" s="23" t="n">
        <v>800</v>
      </c>
      <c r="P35" s="0" t="s">
        <v>26</v>
      </c>
      <c r="R35" s="10" t="n">
        <f aca="false">(O35-L35)/G35</f>
        <v>879.120879120879</v>
      </c>
    </row>
    <row r="36" customFormat="false" ht="15" hidden="false" customHeight="false" outlineLevel="0" collapsed="false">
      <c r="A36" s="1"/>
      <c r="D36" s="1"/>
      <c r="F36" s="1"/>
      <c r="G36" s="1"/>
      <c r="H36" s="1"/>
      <c r="I36" s="1"/>
      <c r="J36" s="1"/>
      <c r="K36" s="1" t="n">
        <f aca="false">G36*I36</f>
        <v>0</v>
      </c>
      <c r="M36" s="23"/>
      <c r="N36" s="1"/>
      <c r="O36" s="23"/>
      <c r="P36" s="1"/>
      <c r="R36" s="10"/>
    </row>
    <row r="37" customFormat="false" ht="16.4" hidden="false" customHeight="false" outlineLevel="0" collapsed="false">
      <c r="A37" s="1" t="n">
        <v>6146</v>
      </c>
      <c r="B37" s="0" t="s">
        <v>259</v>
      </c>
      <c r="C37" s="0" t="s">
        <v>59</v>
      </c>
      <c r="D37" s="1" t="s">
        <v>53</v>
      </c>
      <c r="E37" s="0" t="s">
        <v>163</v>
      </c>
      <c r="F37" s="1" t="n">
        <v>3.8</v>
      </c>
      <c r="G37" s="1" t="n">
        <v>3.8</v>
      </c>
      <c r="H37" s="1" t="n">
        <f aca="false">-((G37*100/F37)-100)</f>
        <v>-0</v>
      </c>
      <c r="I37" s="33" t="n">
        <v>164</v>
      </c>
      <c r="J37" s="1" t="n">
        <f aca="false">(F37-G37)*I37</f>
        <v>0</v>
      </c>
      <c r="K37" s="1" t="n">
        <f aca="false">G37*I37</f>
        <v>623.2</v>
      </c>
      <c r="M37" s="23" t="n">
        <v>4000</v>
      </c>
      <c r="N37" s="3" t="s">
        <v>4</v>
      </c>
      <c r="O37" s="23" t="n">
        <v>4000</v>
      </c>
      <c r="P37" s="0" t="s">
        <v>26</v>
      </c>
      <c r="R37" s="10" t="n">
        <f aca="false">(O37-L37)/G37</f>
        <v>1052.63157894737</v>
      </c>
    </row>
    <row r="38" customFormat="false" ht="15" hidden="false" customHeight="false" outlineLevel="0" collapsed="false">
      <c r="A38" s="1"/>
      <c r="D38" s="1"/>
      <c r="F38" s="1"/>
      <c r="G38" s="1"/>
      <c r="H38" s="1"/>
      <c r="I38" s="1"/>
      <c r="J38" s="1"/>
      <c r="K38" s="1" t="n">
        <f aca="false">G38*I38</f>
        <v>0</v>
      </c>
      <c r="M38" s="23"/>
      <c r="N38" s="1"/>
      <c r="O38" s="23"/>
      <c r="P38" s="1"/>
      <c r="R38" s="10"/>
    </row>
    <row r="39" customFormat="false" ht="16.4" hidden="false" customHeight="false" outlineLevel="0" collapsed="false">
      <c r="A39" s="1" t="n">
        <v>6147</v>
      </c>
      <c r="B39" s="0" t="s">
        <v>260</v>
      </c>
      <c r="C39" s="0" t="s">
        <v>55</v>
      </c>
      <c r="D39" s="1" t="s">
        <v>53</v>
      </c>
      <c r="E39" s="0" t="s">
        <v>261</v>
      </c>
      <c r="F39" s="1" t="n">
        <v>5.6</v>
      </c>
      <c r="G39" s="1" t="n">
        <v>5.6</v>
      </c>
      <c r="H39" s="1" t="n">
        <f aca="false">-((G39*100/F39)-100)</f>
        <v>-0</v>
      </c>
      <c r="I39" s="33" t="n">
        <v>855</v>
      </c>
      <c r="J39" s="1" t="n">
        <f aca="false">(F39-G39)*I39</f>
        <v>0</v>
      </c>
      <c r="K39" s="1" t="n">
        <f aca="false">G39*I39</f>
        <v>4788</v>
      </c>
      <c r="M39" s="23" t="n">
        <v>13284</v>
      </c>
      <c r="N39" s="3" t="s">
        <v>4</v>
      </c>
      <c r="O39" s="23" t="n">
        <v>13284</v>
      </c>
      <c r="P39" s="0" t="s">
        <v>29</v>
      </c>
      <c r="R39" s="10" t="n">
        <f aca="false">(O39-L39)/G39</f>
        <v>2372.14285714286</v>
      </c>
    </row>
    <row r="40" customFormat="false" ht="16.4" hidden="false" customHeight="false" outlineLevel="0" collapsed="false">
      <c r="A40" s="1" t="n">
        <v>6147</v>
      </c>
      <c r="B40" s="0" t="s">
        <v>260</v>
      </c>
      <c r="C40" s="0" t="s">
        <v>42</v>
      </c>
      <c r="D40" s="1" t="s">
        <v>53</v>
      </c>
      <c r="E40" s="0" t="s">
        <v>261</v>
      </c>
      <c r="F40" s="1" t="n">
        <v>1.6</v>
      </c>
      <c r="G40" s="1" t="n">
        <v>1.6</v>
      </c>
      <c r="H40" s="1" t="n">
        <f aca="false">-((G40*100/F40)-100)</f>
        <v>-0</v>
      </c>
      <c r="I40" s="33" t="n">
        <v>855</v>
      </c>
      <c r="J40" s="1" t="n">
        <f aca="false">(F40-G40)*I40</f>
        <v>0</v>
      </c>
      <c r="K40" s="1" t="n">
        <f aca="false">G40*I40</f>
        <v>1368</v>
      </c>
      <c r="M40" s="23" t="n">
        <v>4819</v>
      </c>
      <c r="N40" s="3" t="s">
        <v>4</v>
      </c>
      <c r="O40" s="23" t="n">
        <v>4819</v>
      </c>
      <c r="P40" s="0" t="s">
        <v>29</v>
      </c>
      <c r="R40" s="10" t="n">
        <f aca="false">(O40-L40)/G40</f>
        <v>3011.875</v>
      </c>
    </row>
    <row r="41" customFormat="false" ht="15" hidden="false" customHeight="false" outlineLevel="0" collapsed="false">
      <c r="A41" s="1"/>
      <c r="D41" s="1"/>
      <c r="F41" s="1"/>
      <c r="G41" s="1"/>
      <c r="H41" s="1"/>
      <c r="I41" s="1"/>
      <c r="J41" s="1"/>
      <c r="K41" s="1" t="n">
        <f aca="false">G41*I41</f>
        <v>0</v>
      </c>
      <c r="M41" s="23"/>
      <c r="N41" s="1"/>
      <c r="O41" s="23"/>
      <c r="P41" s="1"/>
      <c r="R41" s="10"/>
    </row>
    <row r="42" customFormat="false" ht="16.4" hidden="false" customHeight="false" outlineLevel="0" collapsed="false">
      <c r="A42" s="1" t="n">
        <v>6120</v>
      </c>
      <c r="B42" s="0" t="s">
        <v>209</v>
      </c>
      <c r="C42" s="0" t="s">
        <v>62</v>
      </c>
      <c r="D42" s="1" t="s">
        <v>53</v>
      </c>
      <c r="E42" s="0" t="s">
        <v>54</v>
      </c>
      <c r="F42" s="1" t="n">
        <v>6.13</v>
      </c>
      <c r="G42" s="1" t="n">
        <v>6.13</v>
      </c>
      <c r="H42" s="1" t="n">
        <f aca="false">-((G42*100/F42)-100)</f>
        <v>-0</v>
      </c>
      <c r="I42" s="33" t="n">
        <v>824</v>
      </c>
      <c r="J42" s="1" t="n">
        <f aca="false">(F42-G42)*I42</f>
        <v>0</v>
      </c>
      <c r="K42" s="1" t="n">
        <f aca="false">G42*I42</f>
        <v>5051.12</v>
      </c>
      <c r="M42" s="23" t="n">
        <v>12005</v>
      </c>
      <c r="N42" s="3" t="s">
        <v>4</v>
      </c>
      <c r="O42" s="23" t="n">
        <v>12005</v>
      </c>
      <c r="P42" s="1" t="s">
        <v>26</v>
      </c>
      <c r="R42" s="10" t="n">
        <f aca="false">(O42-L42)/G42</f>
        <v>1958.4013050571</v>
      </c>
    </row>
    <row r="43" customFormat="false" ht="15" hidden="false" customHeight="false" outlineLevel="0" collapsed="false">
      <c r="A43" s="1"/>
      <c r="D43" s="1"/>
      <c r="F43" s="1"/>
      <c r="G43" s="1"/>
      <c r="H43" s="1"/>
      <c r="I43" s="1"/>
      <c r="J43" s="1"/>
      <c r="K43" s="1" t="n">
        <f aca="false">G43*I43</f>
        <v>0</v>
      </c>
      <c r="M43" s="23"/>
      <c r="N43" s="1"/>
      <c r="O43" s="23"/>
      <c r="P43" s="1"/>
      <c r="R43" s="10"/>
    </row>
    <row r="44" customFormat="false" ht="16.4" hidden="false" customHeight="false" outlineLevel="0" collapsed="false">
      <c r="A44" s="1" t="n">
        <v>6151</v>
      </c>
      <c r="B44" s="0" t="s">
        <v>262</v>
      </c>
      <c r="C44" s="0" t="s">
        <v>263</v>
      </c>
      <c r="D44" s="1" t="s">
        <v>37</v>
      </c>
      <c r="E44" s="0" t="s">
        <v>52</v>
      </c>
      <c r="F44" s="1" t="n">
        <v>1.12</v>
      </c>
      <c r="G44" s="1" t="n">
        <v>1.12</v>
      </c>
      <c r="H44" s="1" t="n">
        <f aca="false">-((G44*100/F44)-100)</f>
        <v>-0</v>
      </c>
      <c r="I44" s="33" t="n">
        <v>506</v>
      </c>
      <c r="J44" s="1" t="n">
        <f aca="false">(F44-G44)*I44</f>
        <v>0</v>
      </c>
      <c r="K44" s="1" t="n">
        <f aca="false">G44*I44</f>
        <v>566.72</v>
      </c>
      <c r="M44" s="23" t="n">
        <v>1687</v>
      </c>
      <c r="N44" s="1" t="s">
        <v>4</v>
      </c>
      <c r="O44" s="23" t="n">
        <v>1687</v>
      </c>
      <c r="P44" s="0" t="s">
        <v>26</v>
      </c>
      <c r="R44" s="10" t="n">
        <f aca="false">(O44-L44)/G44</f>
        <v>1506.25</v>
      </c>
    </row>
    <row r="45" customFormat="false" ht="16.4" hidden="false" customHeight="false" outlineLevel="0" collapsed="false">
      <c r="A45" s="1" t="n">
        <v>6151</v>
      </c>
      <c r="B45" s="0" t="s">
        <v>262</v>
      </c>
      <c r="C45" s="0" t="s">
        <v>264</v>
      </c>
      <c r="D45" s="1" t="s">
        <v>37</v>
      </c>
      <c r="E45" s="0" t="s">
        <v>38</v>
      </c>
      <c r="F45" s="1" t="n">
        <v>1.1</v>
      </c>
      <c r="G45" s="1" t="n">
        <v>1.1</v>
      </c>
      <c r="H45" s="1" t="n">
        <f aca="false">-((G45*100/F45)-100)</f>
        <v>-0</v>
      </c>
      <c r="I45" s="33" t="n">
        <v>450</v>
      </c>
      <c r="J45" s="1" t="n">
        <f aca="false">(F45-G45)*I45</f>
        <v>0</v>
      </c>
      <c r="K45" s="1" t="n">
        <f aca="false">G45*I45</f>
        <v>495</v>
      </c>
      <c r="M45" s="23" t="n">
        <v>1618</v>
      </c>
      <c r="N45" s="1" t="s">
        <v>4</v>
      </c>
      <c r="O45" s="23" t="n">
        <v>1618</v>
      </c>
      <c r="P45" s="0" t="s">
        <v>26</v>
      </c>
      <c r="R45" s="10" t="n">
        <f aca="false">(O45-L45)/G45</f>
        <v>1470.90909090909</v>
      </c>
    </row>
    <row r="46" customFormat="false" ht="15" hidden="false" customHeight="false" outlineLevel="0" collapsed="false">
      <c r="K46" s="1" t="n">
        <f aca="false">G46*I46</f>
        <v>0</v>
      </c>
    </row>
    <row r="47" customFormat="false" ht="16.4" hidden="false" customHeight="false" outlineLevel="0" collapsed="false">
      <c r="A47" s="1" t="n">
        <v>6153</v>
      </c>
      <c r="B47" s="0" t="s">
        <v>265</v>
      </c>
      <c r="C47" s="0" t="s">
        <v>266</v>
      </c>
      <c r="D47" s="1" t="s">
        <v>53</v>
      </c>
      <c r="E47" s="0" t="s">
        <v>68</v>
      </c>
      <c r="F47" s="1" t="n">
        <v>6.45</v>
      </c>
      <c r="G47" s="1" t="n">
        <v>6.45</v>
      </c>
      <c r="H47" s="1" t="n">
        <f aca="false">-((G47*100/F47)-100)</f>
        <v>-0</v>
      </c>
      <c r="I47" s="33" t="n">
        <v>582</v>
      </c>
      <c r="J47" s="1" t="n">
        <f aca="false">(F47-G47)*I47</f>
        <v>0</v>
      </c>
      <c r="K47" s="1" t="n">
        <f aca="false">G47*I47</f>
        <v>3753.9</v>
      </c>
      <c r="M47" s="23" t="n">
        <v>9900</v>
      </c>
      <c r="N47" s="3" t="s">
        <v>4</v>
      </c>
      <c r="O47" s="23" t="n">
        <v>9900</v>
      </c>
      <c r="P47" s="0" t="s">
        <v>29</v>
      </c>
      <c r="R47" s="10" t="n">
        <f aca="false">(O47-L47)/G47</f>
        <v>1534.88372093023</v>
      </c>
    </row>
    <row r="48" customFormat="false" ht="16.4" hidden="false" customHeight="false" outlineLevel="0" collapsed="false">
      <c r="A48" s="1" t="n">
        <v>6153</v>
      </c>
      <c r="B48" s="0" t="s">
        <v>265</v>
      </c>
      <c r="C48" s="0" t="s">
        <v>267</v>
      </c>
      <c r="D48" s="1" t="s">
        <v>53</v>
      </c>
      <c r="E48" s="0" t="s">
        <v>68</v>
      </c>
      <c r="F48" s="1" t="n">
        <v>2.32</v>
      </c>
      <c r="G48" s="1" t="n">
        <v>2.32</v>
      </c>
      <c r="H48" s="1" t="n">
        <f aca="false">-((G48*100/F48)-100)</f>
        <v>-0</v>
      </c>
      <c r="I48" s="33" t="n">
        <v>582</v>
      </c>
      <c r="J48" s="1" t="n">
        <f aca="false">(F48-G48)*I48</f>
        <v>0</v>
      </c>
      <c r="K48" s="1" t="n">
        <f aca="false">G48*I48</f>
        <v>1350.24</v>
      </c>
      <c r="M48" s="23" t="n">
        <v>3540</v>
      </c>
      <c r="N48" s="3" t="s">
        <v>4</v>
      </c>
      <c r="O48" s="23" t="n">
        <v>3540</v>
      </c>
      <c r="P48" s="0" t="s">
        <v>26</v>
      </c>
      <c r="R48" s="10" t="n">
        <f aca="false">(O48-L48)/G48</f>
        <v>1525.86206896552</v>
      </c>
    </row>
    <row r="49" customFormat="false" ht="16.4" hidden="false" customHeight="false" outlineLevel="0" collapsed="false">
      <c r="A49" s="1" t="n">
        <v>6153</v>
      </c>
      <c r="B49" s="0" t="s">
        <v>265</v>
      </c>
      <c r="C49" s="0" t="s">
        <v>268</v>
      </c>
      <c r="D49" s="1" t="s">
        <v>53</v>
      </c>
      <c r="E49" s="0" t="s">
        <v>68</v>
      </c>
      <c r="F49" s="1" t="n">
        <v>2.71</v>
      </c>
      <c r="G49" s="1" t="n">
        <v>2.71</v>
      </c>
      <c r="H49" s="1" t="n">
        <f aca="false">-((G49*100/F49)-100)</f>
        <v>-0</v>
      </c>
      <c r="I49" s="33" t="n">
        <v>582</v>
      </c>
      <c r="J49" s="1" t="n">
        <f aca="false">(F49-G49)*I49</f>
        <v>0</v>
      </c>
      <c r="K49" s="1" t="n">
        <f aca="false">G49*I49</f>
        <v>1577.22</v>
      </c>
      <c r="M49" s="23" t="n">
        <v>4150</v>
      </c>
      <c r="N49" s="3" t="s">
        <v>4</v>
      </c>
      <c r="O49" s="23" t="n">
        <v>4150</v>
      </c>
      <c r="P49" s="0" t="s">
        <v>29</v>
      </c>
      <c r="R49" s="10" t="n">
        <f aca="false">(O49-L49)/G49</f>
        <v>1531.36531365314</v>
      </c>
    </row>
    <row r="50" customFormat="false" ht="16.4" hidden="false" customHeight="false" outlineLevel="0" collapsed="false">
      <c r="A50" s="1" t="n">
        <v>6153</v>
      </c>
      <c r="B50" s="0" t="s">
        <v>265</v>
      </c>
      <c r="C50" s="0" t="s">
        <v>269</v>
      </c>
      <c r="D50" s="1" t="s">
        <v>53</v>
      </c>
      <c r="E50" s="0" t="s">
        <v>68</v>
      </c>
      <c r="F50" s="1" t="n">
        <v>1.59</v>
      </c>
      <c r="G50" s="1" t="n">
        <v>1.59</v>
      </c>
      <c r="H50" s="1" t="n">
        <f aca="false">-((G50*100/F50)-100)</f>
        <v>-0</v>
      </c>
      <c r="I50" s="33" t="n">
        <v>582</v>
      </c>
      <c r="J50" s="1" t="n">
        <f aca="false">(F50-G50)*I50</f>
        <v>0</v>
      </c>
      <c r="K50" s="1" t="n">
        <f aca="false">G50*I50</f>
        <v>925.38</v>
      </c>
      <c r="M50" s="23" t="n">
        <v>2442</v>
      </c>
      <c r="N50" s="3" t="s">
        <v>4</v>
      </c>
      <c r="O50" s="23" t="n">
        <v>2442</v>
      </c>
      <c r="P50" s="0" t="s">
        <v>26</v>
      </c>
      <c r="R50" s="10" t="n">
        <f aca="false">(O50-L50)/G50</f>
        <v>1535.84905660377</v>
      </c>
    </row>
    <row r="51" customFormat="false" ht="15" hidden="false" customHeight="false" outlineLevel="0" collapsed="false">
      <c r="A51" s="1"/>
      <c r="D51" s="1"/>
      <c r="F51" s="1"/>
      <c r="G51" s="1"/>
      <c r="H51" s="1"/>
      <c r="I51" s="1"/>
      <c r="J51" s="1"/>
      <c r="K51" s="1"/>
      <c r="M51" s="23"/>
      <c r="N51" s="3"/>
      <c r="O51" s="23"/>
      <c r="P51" s="1"/>
      <c r="R51" s="10"/>
    </row>
    <row r="52" customFormat="false" ht="13.5" hidden="false" customHeight="true" outlineLevel="0" collapsed="false">
      <c r="A52" s="1"/>
      <c r="D52" s="1"/>
      <c r="F52" s="1"/>
      <c r="G52" s="1"/>
      <c r="H52" s="1"/>
      <c r="J52" s="1"/>
      <c r="K52" s="1"/>
      <c r="M52" s="23"/>
      <c r="N52" s="12"/>
      <c r="O52" s="23"/>
      <c r="R52" s="10"/>
    </row>
    <row r="53" customFormat="false" ht="15" hidden="false" customHeight="false" outlineLevel="0" collapsed="false">
      <c r="A53" s="1"/>
      <c r="D53" s="1"/>
      <c r="F53" s="1" t="n">
        <v>118.38</v>
      </c>
      <c r="G53" s="1" t="n">
        <v>117.99</v>
      </c>
      <c r="H53" s="1"/>
      <c r="J53" s="1" t="n">
        <v>110.76</v>
      </c>
      <c r="K53" s="1" t="n">
        <v>53363.08</v>
      </c>
      <c r="M53" s="23" t="n">
        <f aca="false">SUM(M4:M51)</f>
        <v>188149</v>
      </c>
      <c r="N53" s="12"/>
      <c r="O53" s="23"/>
      <c r="R53" s="10"/>
    </row>
    <row r="54" customFormat="false" ht="15" hidden="false" customHeight="false" outlineLevel="0" collapsed="false">
      <c r="A54" s="1"/>
      <c r="D54" s="1"/>
      <c r="F54" s="1"/>
      <c r="G54" s="1"/>
      <c r="H54" s="1"/>
      <c r="J54" s="1"/>
      <c r="K54" s="1"/>
      <c r="M54" s="23"/>
      <c r="N54" s="12"/>
      <c r="O54" s="23"/>
      <c r="R54" s="10"/>
    </row>
    <row r="55" customFormat="false" ht="15" hidden="false" customHeight="false" outlineLevel="0" collapsed="false">
      <c r="A55" s="1"/>
      <c r="F55" s="1"/>
      <c r="G55" s="1"/>
      <c r="H55" s="1"/>
      <c r="J55" s="1"/>
      <c r="K55" s="1"/>
      <c r="M55" s="23"/>
      <c r="N55" s="12"/>
      <c r="O55" s="23"/>
      <c r="R55" s="10"/>
    </row>
    <row r="56" customFormat="false" ht="15" hidden="false" customHeight="false" outlineLevel="0" collapsed="false">
      <c r="A56" s="1"/>
      <c r="F56" s="1"/>
      <c r="G56" s="1"/>
      <c r="H56" s="1"/>
      <c r="J56" s="1"/>
      <c r="K56" s="1"/>
      <c r="M56" s="23"/>
      <c r="N56" s="1"/>
      <c r="O56" s="23"/>
      <c r="R56" s="10"/>
    </row>
    <row r="57" customFormat="false" ht="15" hidden="false" customHeight="false" outlineLevel="0" collapsed="false">
      <c r="A57" s="1"/>
      <c r="D57" s="1"/>
      <c r="F57" s="1"/>
      <c r="G57" s="1"/>
      <c r="H57" s="1"/>
      <c r="J57" s="1"/>
      <c r="K57" s="1"/>
      <c r="M57" s="23"/>
      <c r="N57" s="12"/>
      <c r="O57" s="23"/>
      <c r="R57" s="10"/>
    </row>
    <row r="58" customFormat="false" ht="15" hidden="false" customHeight="false" outlineLevel="0" collapsed="false">
      <c r="A58" s="1"/>
      <c r="F58" s="1"/>
      <c r="G58" s="1"/>
      <c r="H58" s="1"/>
      <c r="J58" s="1"/>
      <c r="K58" s="1"/>
      <c r="M58" s="23"/>
      <c r="N58" s="1"/>
      <c r="O58" s="23"/>
      <c r="R58" s="10"/>
    </row>
    <row r="59" customFormat="false" ht="15" hidden="false" customHeight="false" outlineLevel="0" collapsed="false">
      <c r="A59" s="1"/>
      <c r="D59" s="1"/>
      <c r="F59" s="1"/>
      <c r="H59" s="1"/>
      <c r="J59" s="1"/>
      <c r="K59" s="1"/>
      <c r="M59" s="23"/>
      <c r="N59" s="26"/>
      <c r="O59" s="23"/>
      <c r="R59" s="10"/>
    </row>
    <row r="60" customFormat="false" ht="15" hidden="false" customHeight="false" outlineLevel="0" collapsed="false">
      <c r="A60" s="1"/>
      <c r="D60" s="1"/>
      <c r="F60" s="1"/>
      <c r="H60" s="1"/>
      <c r="J60" s="1"/>
      <c r="K60" s="1"/>
      <c r="M60" s="23"/>
      <c r="N60" s="26"/>
      <c r="O60" s="23"/>
      <c r="R60" s="10"/>
    </row>
    <row r="61" customFormat="false" ht="15" hidden="false" customHeight="false" outlineLevel="0" collapsed="false">
      <c r="A61" s="1"/>
      <c r="D61" s="1"/>
      <c r="F61" s="1"/>
      <c r="H61" s="1"/>
      <c r="J61" s="1"/>
      <c r="K61" s="1"/>
      <c r="M61" s="23"/>
      <c r="N61" s="1"/>
      <c r="O61" s="23"/>
      <c r="R61" s="10"/>
    </row>
    <row r="62" customFormat="false" ht="15" hidden="false" customHeight="false" outlineLevel="0" collapsed="false">
      <c r="A62" s="1"/>
      <c r="D62" s="1"/>
      <c r="F62" s="1"/>
      <c r="H62" s="1"/>
      <c r="J62" s="1"/>
      <c r="K62" s="1"/>
      <c r="M62" s="23"/>
      <c r="N62" s="26"/>
      <c r="O62" s="23"/>
      <c r="R62" s="10"/>
    </row>
    <row r="63" customFormat="false" ht="15" hidden="false" customHeight="false" outlineLevel="0" collapsed="false">
      <c r="A63" s="1"/>
      <c r="H63" s="1"/>
      <c r="J63" s="1"/>
      <c r="K63" s="1"/>
      <c r="M63" s="23"/>
      <c r="N63" s="26"/>
      <c r="O63" s="23"/>
      <c r="R63" s="10"/>
    </row>
    <row r="64" customFormat="false" ht="15" hidden="false" customHeight="false" outlineLevel="0" collapsed="false">
      <c r="A64" s="1"/>
      <c r="D64" s="1"/>
      <c r="F64" s="1"/>
      <c r="G64" s="1"/>
      <c r="H64" s="1"/>
      <c r="I64" s="1"/>
      <c r="J64" s="1"/>
      <c r="K64" s="1"/>
      <c r="M64" s="23"/>
      <c r="N64" s="1"/>
      <c r="O64" s="23"/>
      <c r="R64" s="10"/>
    </row>
    <row r="65" customFormat="false" ht="15" hidden="false" customHeight="false" outlineLevel="0" collapsed="false">
      <c r="A65" s="1"/>
      <c r="D65" s="1"/>
      <c r="F65" s="1"/>
      <c r="G65" s="1"/>
      <c r="H65" s="1"/>
      <c r="J65" s="1"/>
      <c r="K65" s="1"/>
      <c r="M65" s="23"/>
      <c r="N65" s="26"/>
      <c r="O65" s="23"/>
      <c r="R65" s="10"/>
    </row>
    <row r="66" customFormat="false" ht="15" hidden="false" customHeight="false" outlineLevel="0" collapsed="false">
      <c r="A66" s="1"/>
      <c r="D66" s="1"/>
      <c r="F66" s="1"/>
      <c r="G66" s="1"/>
      <c r="H66" s="1"/>
      <c r="J66" s="1"/>
      <c r="K66" s="1"/>
      <c r="M66" s="23"/>
      <c r="N66" s="26"/>
      <c r="O66" s="23"/>
      <c r="R66" s="10"/>
    </row>
    <row r="67" customFormat="false" ht="15" hidden="false" customHeight="false" outlineLevel="0" collapsed="false">
      <c r="A67" s="1"/>
      <c r="D67" s="1"/>
      <c r="F67" s="1"/>
      <c r="G67" s="1"/>
      <c r="H67" s="1"/>
      <c r="I67" s="1"/>
      <c r="J67" s="1"/>
      <c r="K67" s="1"/>
      <c r="M67" s="23"/>
      <c r="N67" s="1"/>
      <c r="O67" s="23"/>
      <c r="R67" s="10"/>
    </row>
    <row r="68" customFormat="false" ht="15" hidden="false" customHeight="false" outlineLevel="0" collapsed="false">
      <c r="A68" s="1"/>
      <c r="D68" s="1"/>
      <c r="F68" s="1"/>
      <c r="G68" s="1"/>
      <c r="H68" s="1"/>
      <c r="J68" s="1"/>
      <c r="K68" s="1"/>
      <c r="M68" s="23"/>
      <c r="N68" s="1"/>
      <c r="O68" s="23"/>
      <c r="R68" s="10"/>
    </row>
    <row r="69" customFormat="false" ht="15" hidden="false" customHeight="false" outlineLevel="0" collapsed="false">
      <c r="A69" s="1"/>
      <c r="D69" s="1"/>
      <c r="F69" s="1"/>
      <c r="G69" s="1"/>
      <c r="H69" s="1"/>
      <c r="I69" s="1"/>
      <c r="J69" s="1"/>
      <c r="K69" s="1"/>
      <c r="M69" s="23"/>
      <c r="N69" s="1"/>
      <c r="O69" s="23"/>
      <c r="R69" s="10"/>
    </row>
    <row r="70" customFormat="false" ht="15" hidden="false" customHeight="false" outlineLevel="0" collapsed="false">
      <c r="A70" s="1"/>
      <c r="D70" s="1"/>
      <c r="F70" s="1"/>
      <c r="G70" s="1"/>
      <c r="H70" s="1"/>
      <c r="I70" s="1"/>
      <c r="J70" s="1"/>
      <c r="K70" s="1"/>
      <c r="M70" s="23"/>
      <c r="N70" s="1"/>
      <c r="O70" s="23"/>
      <c r="R70" s="10"/>
    </row>
    <row r="71" customFormat="false" ht="15" hidden="false" customHeight="false" outlineLevel="0" collapsed="false">
      <c r="A71" s="1"/>
      <c r="D71" s="1"/>
      <c r="F71" s="1"/>
      <c r="G71" s="1"/>
      <c r="H71" s="1"/>
      <c r="I71" s="1"/>
      <c r="J71" s="1"/>
      <c r="K71" s="1"/>
      <c r="M71" s="23"/>
      <c r="N71" s="1"/>
      <c r="O71" s="23"/>
      <c r="R71" s="10"/>
    </row>
    <row r="72" customFormat="false" ht="15" hidden="false" customHeight="false" outlineLevel="0" collapsed="false">
      <c r="A72" s="1"/>
      <c r="H72" s="1"/>
      <c r="J72" s="1"/>
      <c r="K72" s="1"/>
      <c r="M72" s="23"/>
      <c r="N72" s="1"/>
      <c r="O72" s="23"/>
      <c r="R72" s="10"/>
    </row>
    <row r="73" customFormat="false" ht="15" hidden="false" customHeight="false" outlineLevel="0" collapsed="false">
      <c r="A73" s="1"/>
      <c r="H73" s="1"/>
      <c r="J73" s="1"/>
      <c r="K73" s="1"/>
      <c r="M73" s="23"/>
      <c r="N73" s="1"/>
      <c r="O73" s="23"/>
      <c r="R73" s="10"/>
    </row>
    <row r="74" customFormat="false" ht="15" hidden="false" customHeight="false" outlineLevel="0" collapsed="false">
      <c r="A74" s="1"/>
      <c r="H74" s="1"/>
      <c r="J74" s="1"/>
      <c r="K74" s="1"/>
      <c r="M74" s="23"/>
      <c r="N74" s="1"/>
      <c r="O74" s="23"/>
      <c r="R74" s="10"/>
    </row>
    <row r="75" customFormat="false" ht="15" hidden="false" customHeight="false" outlineLevel="0" collapsed="false">
      <c r="A75" s="1"/>
      <c r="H75" s="1"/>
      <c r="J75" s="1"/>
      <c r="K75" s="1"/>
      <c r="M75" s="23"/>
      <c r="N75" s="1"/>
      <c r="O75" s="23"/>
      <c r="R75" s="10"/>
    </row>
    <row r="76" customFormat="false" ht="15" hidden="false" customHeight="false" outlineLevel="0" collapsed="false">
      <c r="A76" s="1"/>
      <c r="H76" s="1"/>
      <c r="J76" s="1"/>
      <c r="K76" s="1"/>
      <c r="M76" s="23"/>
      <c r="N76" s="1"/>
      <c r="O76" s="23"/>
      <c r="R76" s="10"/>
    </row>
    <row r="77" customFormat="false" ht="15" hidden="false" customHeight="false" outlineLevel="0" collapsed="false">
      <c r="A77" s="1"/>
      <c r="H77" s="1"/>
      <c r="J77" s="1"/>
      <c r="M77" s="23"/>
      <c r="N77" s="1"/>
      <c r="O77" s="23"/>
      <c r="R77" s="10"/>
    </row>
    <row r="78" customFormat="false" ht="15" hidden="false" customHeight="false" outlineLevel="0" collapsed="false">
      <c r="A78" s="1"/>
      <c r="H78" s="1"/>
      <c r="J78" s="1"/>
      <c r="M78" s="23"/>
      <c r="N78" s="1"/>
      <c r="O78" s="23"/>
      <c r="R78" s="10"/>
    </row>
    <row r="79" customFormat="false" ht="15" hidden="false" customHeight="false" outlineLevel="0" collapsed="false">
      <c r="A79" s="1"/>
      <c r="H79" s="1"/>
      <c r="J79" s="1"/>
      <c r="M79" s="23"/>
      <c r="N79" s="1"/>
      <c r="O79" s="23"/>
      <c r="R79" s="10"/>
    </row>
    <row r="80" customFormat="false" ht="15" hidden="false" customHeight="false" outlineLevel="0" collapsed="false">
      <c r="A80" s="1"/>
      <c r="H80" s="1"/>
      <c r="J80" s="1"/>
      <c r="M80" s="23"/>
      <c r="N80" s="1"/>
      <c r="O80" s="23"/>
      <c r="R80" s="10"/>
    </row>
    <row r="81" customFormat="false" ht="15" hidden="false" customHeight="false" outlineLevel="0" collapsed="false">
      <c r="A81" s="1"/>
      <c r="H81" s="1"/>
      <c r="J81" s="1"/>
      <c r="M81" s="23"/>
      <c r="N81" s="1"/>
      <c r="O81" s="23"/>
      <c r="R81" s="10"/>
    </row>
    <row r="82" customFormat="false" ht="15" hidden="false" customHeight="false" outlineLevel="0" collapsed="false">
      <c r="A82" s="1"/>
      <c r="F82" s="1"/>
      <c r="G82" s="1"/>
      <c r="H82" s="1"/>
      <c r="J82" s="1"/>
      <c r="K82" s="1"/>
      <c r="M82" s="23"/>
      <c r="N82" s="1"/>
      <c r="O82" s="23"/>
      <c r="R82" s="10"/>
    </row>
    <row r="83" customFormat="false" ht="15" hidden="false" customHeight="false" outlineLevel="0" collapsed="false">
      <c r="A83" s="1"/>
      <c r="F83" s="1"/>
      <c r="G83" s="1"/>
      <c r="H83" s="1"/>
      <c r="J83" s="1"/>
      <c r="K83" s="1"/>
      <c r="M83" s="23"/>
      <c r="N83" s="1"/>
      <c r="O83" s="23"/>
      <c r="R83" s="10"/>
    </row>
    <row r="84" customFormat="false" ht="15" hidden="false" customHeight="false" outlineLevel="0" collapsed="false">
      <c r="A84" s="1"/>
      <c r="F84" s="1"/>
      <c r="G84" s="1"/>
      <c r="H84" s="1"/>
      <c r="J84" s="1"/>
      <c r="K84" s="1"/>
      <c r="M84" s="23"/>
      <c r="N84" s="1"/>
      <c r="O84" s="23"/>
      <c r="R84" s="10"/>
    </row>
    <row r="85" customFormat="false" ht="15" hidden="false" customHeight="false" outlineLevel="0" collapsed="false">
      <c r="A85" s="1"/>
      <c r="D85" s="1"/>
      <c r="F85" s="1"/>
      <c r="G85" s="1"/>
      <c r="H85" s="1"/>
      <c r="I85" s="1"/>
      <c r="J85" s="1"/>
      <c r="K85" s="1"/>
      <c r="L85" s="10"/>
      <c r="M85" s="32"/>
      <c r="N85" s="3"/>
      <c r="O85" s="35"/>
      <c r="R85" s="10"/>
    </row>
    <row r="86" customFormat="false" ht="15" hidden="false" customHeight="false" outlineLevel="0" collapsed="false">
      <c r="A86" s="1"/>
      <c r="D86" s="1"/>
      <c r="F86" s="1"/>
      <c r="G86" s="1"/>
      <c r="H86" s="1"/>
      <c r="I86" s="1"/>
      <c r="J86" s="1"/>
      <c r="K86" s="1"/>
      <c r="L86" s="32"/>
      <c r="M86" s="32"/>
      <c r="N86" s="3"/>
      <c r="O86" s="35"/>
      <c r="R86" s="10"/>
    </row>
    <row r="87" customFormat="false" ht="15" hidden="false" customHeight="false" outlineLevel="0" collapsed="false">
      <c r="A87" s="1"/>
      <c r="D87" s="1"/>
      <c r="F87" s="1"/>
      <c r="G87" s="1"/>
      <c r="H87" s="1"/>
      <c r="J87" s="1"/>
      <c r="K87" s="1"/>
      <c r="M87" s="23"/>
      <c r="N87" s="3"/>
      <c r="O87" s="23"/>
      <c r="R87" s="10"/>
    </row>
    <row r="88" customFormat="false" ht="15" hidden="false" customHeight="false" outlineLevel="0" collapsed="false">
      <c r="A88" s="1"/>
      <c r="D88" s="1"/>
      <c r="F88" s="1"/>
      <c r="G88" s="1"/>
      <c r="H88" s="1"/>
      <c r="I88" s="1"/>
      <c r="J88" s="1"/>
      <c r="K88" s="1"/>
      <c r="M88" s="23"/>
      <c r="N88" s="3"/>
      <c r="O88" s="23"/>
      <c r="R88" s="10"/>
    </row>
    <row r="89" customFormat="false" ht="15" hidden="false" customHeight="false" outlineLevel="0" collapsed="false">
      <c r="F89" s="1"/>
      <c r="G89" s="1"/>
    </row>
    <row r="90" customFormat="false" ht="15" hidden="false" customHeight="false" outlineLevel="0" collapsed="false">
      <c r="A90" s="1"/>
      <c r="D90" s="1"/>
      <c r="F90" s="1"/>
      <c r="G90" s="1"/>
      <c r="H90" s="1"/>
      <c r="I90" s="1"/>
      <c r="J90" s="1"/>
      <c r="K90" s="1"/>
      <c r="M90" s="23"/>
      <c r="N90" s="1"/>
      <c r="O90" s="23"/>
      <c r="R90" s="10"/>
    </row>
    <row r="91" customFormat="false" ht="15" hidden="false" customHeight="false" outlineLevel="0" collapsed="false">
      <c r="A91" s="1"/>
      <c r="D91" s="1"/>
      <c r="F91" s="1"/>
      <c r="G91" s="1"/>
      <c r="H91" s="1"/>
      <c r="I91" s="1"/>
      <c r="J91" s="1"/>
      <c r="K91" s="1"/>
      <c r="M91" s="23"/>
      <c r="N91" s="1"/>
      <c r="O91" s="23"/>
      <c r="R91" s="10"/>
    </row>
    <row r="92" customFormat="false" ht="15" hidden="false" customHeight="false" outlineLevel="0" collapsed="false">
      <c r="A92" s="1"/>
      <c r="D92" s="1"/>
      <c r="F92" s="1"/>
      <c r="G92" s="1"/>
      <c r="H92" s="1"/>
      <c r="I92" s="1"/>
      <c r="J92" s="1"/>
      <c r="K92" s="1"/>
      <c r="M92" s="23"/>
      <c r="N92" s="1"/>
      <c r="O92" s="23"/>
      <c r="R92" s="10"/>
    </row>
    <row r="93" customFormat="false" ht="15" hidden="false" customHeight="false" outlineLevel="0" collapsed="false">
      <c r="A93" s="1"/>
      <c r="D93" s="1"/>
      <c r="F93" s="1"/>
      <c r="G93" s="1"/>
      <c r="H93" s="1"/>
      <c r="I93" s="1"/>
      <c r="J93" s="1"/>
      <c r="K93" s="1"/>
      <c r="M93" s="23"/>
      <c r="N93" s="1"/>
      <c r="O93" s="23"/>
      <c r="R93" s="10"/>
    </row>
    <row r="94" customFormat="false" ht="15" hidden="false" customHeight="false" outlineLevel="0" collapsed="false">
      <c r="A94" s="1"/>
      <c r="D94" s="1"/>
      <c r="F94" s="1"/>
      <c r="G94" s="1"/>
      <c r="H94" s="1"/>
      <c r="I94" s="1"/>
      <c r="J94" s="1"/>
      <c r="K94" s="1"/>
      <c r="M94" s="23"/>
      <c r="N94" s="1"/>
      <c r="O94" s="23"/>
      <c r="R94" s="10"/>
    </row>
    <row r="95" customFormat="false" ht="15" hidden="false" customHeight="false" outlineLevel="0" collapsed="false">
      <c r="A95" s="1"/>
      <c r="D95" s="1"/>
      <c r="F95" s="1"/>
      <c r="G95" s="1"/>
      <c r="H95" s="1"/>
      <c r="I95" s="1"/>
      <c r="J95" s="1"/>
      <c r="K95" s="1"/>
      <c r="M95" s="23"/>
      <c r="N95" s="1"/>
      <c r="O95" s="23"/>
      <c r="R95" s="10"/>
    </row>
    <row r="96" customFormat="false" ht="15" hidden="false" customHeight="false" outlineLevel="0" collapsed="false">
      <c r="F96" s="1"/>
      <c r="G96" s="1"/>
    </row>
    <row r="97" customFormat="false" ht="15" hidden="false" customHeight="false" outlineLevel="0" collapsed="false">
      <c r="A97" s="1"/>
      <c r="D97" s="1"/>
      <c r="F97" s="1"/>
      <c r="G97" s="1"/>
      <c r="H97" s="1"/>
      <c r="I97" s="1"/>
      <c r="J97" s="1"/>
      <c r="K97" s="1"/>
      <c r="M97" s="23"/>
      <c r="N97" s="3"/>
      <c r="O97" s="23"/>
      <c r="R97" s="10"/>
    </row>
    <row r="98" customFormat="false" ht="15" hidden="false" customHeight="false" outlineLevel="0" collapsed="false">
      <c r="A98" s="1"/>
      <c r="F98" s="1"/>
      <c r="G98" s="1"/>
      <c r="H98" s="1"/>
      <c r="J98" s="1"/>
      <c r="K98" s="1"/>
      <c r="L98" s="23"/>
      <c r="M98" s="23"/>
      <c r="N98" s="3"/>
      <c r="O98" s="23"/>
      <c r="R98" s="10"/>
    </row>
    <row r="99" customFormat="false" ht="15" hidden="false" customHeight="false" outlineLevel="0" collapsed="false">
      <c r="A99" s="1"/>
      <c r="D99" s="1"/>
      <c r="F99" s="1"/>
      <c r="G99" s="1"/>
      <c r="H99" s="1"/>
      <c r="I99" s="1"/>
      <c r="J99" s="1"/>
      <c r="K99" s="1"/>
      <c r="M99" s="23"/>
      <c r="N99" s="3"/>
      <c r="O99" s="23"/>
      <c r="R99" s="10"/>
    </row>
    <row r="100" customFormat="false" ht="15" hidden="false" customHeight="false" outlineLevel="0" collapsed="false">
      <c r="A100" s="1"/>
      <c r="D100" s="1"/>
      <c r="F100" s="1"/>
      <c r="G100" s="1"/>
      <c r="H100" s="1"/>
      <c r="I100" s="1"/>
      <c r="J100" s="1"/>
      <c r="K100" s="1"/>
      <c r="M100" s="23"/>
      <c r="N100" s="3"/>
      <c r="O100" s="23"/>
      <c r="R100" s="10"/>
    </row>
    <row r="101" customFormat="false" ht="15" hidden="false" customHeight="false" outlineLevel="0" collapsed="false">
      <c r="A101" s="1"/>
      <c r="D101" s="1"/>
      <c r="F101" s="1"/>
      <c r="G101" s="1"/>
      <c r="H101" s="1"/>
      <c r="I101" s="1"/>
      <c r="J101" s="1"/>
      <c r="K101" s="1"/>
      <c r="M101" s="23"/>
      <c r="N101" s="3"/>
      <c r="O101" s="23"/>
      <c r="R101" s="10"/>
    </row>
    <row r="102" customFormat="false" ht="15" hidden="false" customHeight="false" outlineLevel="0" collapsed="false">
      <c r="A102" s="1"/>
      <c r="D102" s="1"/>
      <c r="F102" s="1"/>
      <c r="G102" s="1"/>
      <c r="H102" s="1"/>
      <c r="I102" s="1"/>
      <c r="J102" s="1"/>
      <c r="K102" s="1"/>
      <c r="M102" s="23"/>
      <c r="N102" s="3"/>
      <c r="O102" s="23"/>
      <c r="R102" s="10"/>
    </row>
    <row r="103" customFormat="false" ht="15" hidden="false" customHeight="false" outlineLevel="0" collapsed="false">
      <c r="F103" s="1"/>
      <c r="G103" s="1"/>
      <c r="J103" s="1"/>
      <c r="K103" s="1"/>
    </row>
    <row r="104" customFormat="false" ht="15" hidden="false" customHeight="false" outlineLevel="0" collapsed="false">
      <c r="A104" s="1"/>
      <c r="D104" s="1"/>
      <c r="F104" s="1"/>
      <c r="G104" s="1"/>
      <c r="H104" s="1"/>
      <c r="J104" s="1"/>
      <c r="K104" s="1"/>
      <c r="M104" s="23"/>
      <c r="N104" s="1"/>
      <c r="O104" s="23"/>
      <c r="R104" s="10"/>
    </row>
    <row r="105" customFormat="false" ht="15" hidden="false" customHeight="false" outlineLevel="0" collapsed="false">
      <c r="A105" s="1"/>
      <c r="D105" s="1"/>
      <c r="F105" s="1"/>
      <c r="G105" s="1"/>
      <c r="H105" s="1"/>
      <c r="J105" s="1"/>
      <c r="K105" s="1"/>
      <c r="M105" s="23"/>
      <c r="N105" s="1"/>
      <c r="O105" s="23"/>
      <c r="R105" s="10"/>
    </row>
    <row r="106" customFormat="false" ht="15" hidden="false" customHeight="false" outlineLevel="0" collapsed="false">
      <c r="A106" s="1"/>
      <c r="D106" s="1"/>
      <c r="F106" s="1"/>
      <c r="G106" s="1"/>
      <c r="H106" s="1"/>
      <c r="J106" s="1"/>
      <c r="K106" s="1"/>
      <c r="M106" s="23"/>
      <c r="N106" s="1"/>
      <c r="O106" s="23"/>
      <c r="R106" s="10"/>
    </row>
    <row r="107" customFormat="false" ht="15" hidden="false" customHeight="false" outlineLevel="0" collapsed="false">
      <c r="A107" s="1"/>
      <c r="D107" s="1"/>
      <c r="F107" s="1"/>
      <c r="G107" s="1"/>
      <c r="H107" s="1"/>
      <c r="J107" s="1"/>
      <c r="K107" s="1"/>
      <c r="M107" s="23"/>
      <c r="N107" s="1"/>
      <c r="O107" s="23"/>
      <c r="R107" s="10"/>
    </row>
    <row r="108" customFormat="false" ht="15" hidden="false" customHeight="false" outlineLevel="0" collapsed="false">
      <c r="A108" s="1"/>
      <c r="D108" s="1"/>
      <c r="F108" s="1"/>
      <c r="G108" s="1"/>
      <c r="H108" s="1"/>
      <c r="J108" s="1"/>
      <c r="K108" s="1"/>
      <c r="M108" s="23"/>
      <c r="N108" s="1"/>
      <c r="O108" s="23"/>
      <c r="R108" s="10"/>
    </row>
    <row r="109" customFormat="false" ht="15" hidden="false" customHeight="false" outlineLevel="0" collapsed="false">
      <c r="A109" s="1"/>
      <c r="D109" s="1"/>
      <c r="F109" s="1"/>
      <c r="G109" s="1"/>
      <c r="H109" s="1"/>
      <c r="J109" s="1"/>
      <c r="K109" s="1"/>
      <c r="M109" s="23"/>
      <c r="N109" s="1"/>
      <c r="O109" s="23"/>
      <c r="R109" s="10"/>
    </row>
    <row r="110" customFormat="false" ht="15" hidden="false" customHeight="false" outlineLevel="0" collapsed="false">
      <c r="A110" s="1"/>
      <c r="D110" s="1"/>
      <c r="F110" s="1"/>
      <c r="G110" s="1"/>
      <c r="H110" s="1"/>
      <c r="J110" s="1"/>
      <c r="K110" s="1"/>
      <c r="N110" s="1"/>
      <c r="R110" s="10"/>
    </row>
    <row r="111" customFormat="false" ht="15" hidden="false" customHeight="false" outlineLevel="0" collapsed="false">
      <c r="A111" s="1"/>
      <c r="D111" s="1"/>
      <c r="F111" s="1"/>
      <c r="G111" s="1"/>
      <c r="H111" s="1"/>
      <c r="J111" s="1"/>
      <c r="K111" s="1"/>
      <c r="M111" s="23"/>
      <c r="N111" s="1"/>
      <c r="O111" s="23"/>
      <c r="R111" s="10"/>
    </row>
    <row r="112" customFormat="false" ht="15" hidden="false" customHeight="false" outlineLevel="0" collapsed="false">
      <c r="A112" s="1"/>
      <c r="D112" s="1"/>
      <c r="F112" s="1"/>
      <c r="G112" s="1"/>
      <c r="H112" s="1"/>
      <c r="J112" s="1"/>
      <c r="K112" s="1"/>
      <c r="M112" s="23"/>
      <c r="N112" s="1"/>
      <c r="O112" s="23"/>
      <c r="R112" s="10"/>
    </row>
    <row r="113" customFormat="false" ht="15" hidden="false" customHeight="false" outlineLevel="0" collapsed="false">
      <c r="A113" s="1"/>
      <c r="D113" s="1"/>
      <c r="F113" s="1"/>
      <c r="G113" s="1"/>
      <c r="H113" s="1"/>
      <c r="J113" s="1"/>
      <c r="K113" s="1"/>
      <c r="M113" s="23"/>
      <c r="N113" s="1"/>
      <c r="O113" s="23"/>
      <c r="R113" s="10"/>
    </row>
    <row r="114" customFormat="false" ht="15" hidden="false" customHeight="false" outlineLevel="0" collapsed="false">
      <c r="A114" s="1"/>
      <c r="D114" s="1"/>
      <c r="F114" s="1"/>
      <c r="G114" s="1"/>
      <c r="H114" s="1"/>
      <c r="J114" s="1"/>
      <c r="K114" s="1"/>
      <c r="M114" s="23"/>
      <c r="N114" s="1"/>
      <c r="O114" s="23"/>
      <c r="R114" s="10"/>
    </row>
    <row r="115" customFormat="false" ht="15" hidden="false" customHeight="false" outlineLevel="0" collapsed="false">
      <c r="A115" s="1"/>
      <c r="D115" s="1"/>
      <c r="F115" s="1"/>
      <c r="G115" s="1"/>
      <c r="H115" s="1"/>
      <c r="J115" s="1"/>
      <c r="K115" s="1"/>
      <c r="M115" s="23"/>
      <c r="N115" s="1"/>
      <c r="O115" s="23"/>
      <c r="R115" s="10"/>
    </row>
    <row r="116" customFormat="false" ht="15" hidden="false" customHeight="false" outlineLevel="0" collapsed="false">
      <c r="A116" s="1"/>
      <c r="D116" s="1"/>
      <c r="F116" s="1"/>
      <c r="G116" s="1"/>
      <c r="H116" s="1"/>
      <c r="J116" s="1"/>
      <c r="K116" s="1"/>
      <c r="M116" s="23"/>
      <c r="N116" s="1"/>
      <c r="O116" s="23"/>
      <c r="R116" s="10"/>
    </row>
    <row r="117" customFormat="false" ht="15" hidden="false" customHeight="false" outlineLevel="0" collapsed="false">
      <c r="A117" s="1"/>
      <c r="D117" s="1"/>
      <c r="F117" s="1"/>
      <c r="G117" s="1"/>
      <c r="H117" s="1"/>
      <c r="J117" s="1"/>
      <c r="K117" s="1"/>
      <c r="M117" s="23"/>
      <c r="N117" s="1"/>
      <c r="O117" s="23"/>
      <c r="R117" s="10"/>
    </row>
    <row r="118" customFormat="false" ht="15" hidden="false" customHeight="false" outlineLevel="0" collapsed="false">
      <c r="A118" s="1"/>
      <c r="D118" s="1"/>
      <c r="F118" s="1"/>
      <c r="G118" s="1"/>
      <c r="H118" s="1"/>
      <c r="J118" s="1"/>
      <c r="K118" s="1"/>
      <c r="M118" s="23"/>
      <c r="N118" s="1"/>
      <c r="O118" s="23"/>
      <c r="R118" s="10"/>
    </row>
    <row r="119" customFormat="false" ht="15" hidden="false" customHeight="false" outlineLevel="0" collapsed="false">
      <c r="A119" s="1"/>
      <c r="D119" s="1"/>
      <c r="F119" s="1"/>
      <c r="G119" s="1"/>
      <c r="H119" s="1"/>
      <c r="J119" s="1"/>
      <c r="K119" s="1"/>
      <c r="M119" s="23"/>
      <c r="N119" s="1"/>
      <c r="O119" s="23"/>
      <c r="R119" s="10"/>
    </row>
    <row r="120" customFormat="false" ht="15" hidden="false" customHeight="false" outlineLevel="0" collapsed="false">
      <c r="A120" s="1"/>
      <c r="D120" s="1"/>
      <c r="F120" s="1"/>
      <c r="G120" s="1"/>
      <c r="H120" s="1"/>
      <c r="J120" s="1"/>
      <c r="K120" s="1"/>
      <c r="M120" s="23"/>
      <c r="N120" s="1"/>
      <c r="O120" s="23"/>
      <c r="R120" s="10"/>
    </row>
    <row r="121" customFormat="false" ht="15" hidden="false" customHeight="false" outlineLevel="0" collapsed="false">
      <c r="A121" s="1"/>
      <c r="D121" s="1"/>
      <c r="F121" s="1"/>
      <c r="G121" s="1"/>
      <c r="H121" s="1"/>
      <c r="J121" s="1"/>
      <c r="K121" s="1"/>
      <c r="M121" s="23"/>
      <c r="N121" s="1"/>
      <c r="O121" s="23"/>
      <c r="R121" s="10"/>
    </row>
    <row r="122" customFormat="false" ht="15" hidden="false" customHeight="false" outlineLevel="0" collapsed="false">
      <c r="A122" s="1"/>
      <c r="D122" s="1"/>
      <c r="F122" s="1"/>
      <c r="G122" s="1"/>
      <c r="H122" s="1"/>
      <c r="J122" s="1"/>
      <c r="K122" s="1"/>
      <c r="M122" s="23"/>
      <c r="N122" s="1"/>
      <c r="O122" s="23"/>
      <c r="R122" s="10"/>
    </row>
    <row r="123" customFormat="false" ht="15" hidden="false" customHeight="false" outlineLevel="0" collapsed="false">
      <c r="A123" s="1"/>
      <c r="D123" s="1"/>
      <c r="F123" s="1"/>
      <c r="G123" s="1"/>
      <c r="H123" s="1"/>
      <c r="J123" s="1"/>
      <c r="K123" s="1"/>
      <c r="M123" s="23"/>
      <c r="N123" s="1"/>
      <c r="O123" s="23"/>
      <c r="R123" s="10"/>
    </row>
    <row r="124" customFormat="false" ht="15" hidden="false" customHeight="false" outlineLevel="0" collapsed="false">
      <c r="A124" s="1"/>
      <c r="D124" s="1"/>
      <c r="F124" s="1"/>
      <c r="G124" s="1"/>
      <c r="H124" s="1"/>
      <c r="J124" s="1"/>
      <c r="K124" s="1"/>
      <c r="M124" s="23"/>
      <c r="N124" s="1"/>
      <c r="O124" s="23"/>
      <c r="R124" s="10"/>
    </row>
    <row r="125" customFormat="false" ht="15" hidden="false" customHeight="false" outlineLevel="0" collapsed="false">
      <c r="A125" s="1"/>
      <c r="D125" s="1"/>
      <c r="F125" s="1"/>
      <c r="G125" s="1"/>
      <c r="H125" s="1"/>
      <c r="J125" s="1"/>
      <c r="K125" s="1"/>
      <c r="M125" s="23"/>
      <c r="N125" s="1"/>
      <c r="O125" s="23"/>
      <c r="R125" s="10"/>
    </row>
    <row r="126" customFormat="false" ht="15" hidden="false" customHeight="false" outlineLevel="0" collapsed="false">
      <c r="A126" s="1"/>
      <c r="D126" s="1"/>
      <c r="F126" s="1"/>
      <c r="G126" s="1"/>
      <c r="H126" s="1"/>
      <c r="J126" s="1"/>
      <c r="K126" s="1"/>
      <c r="M126" s="23"/>
      <c r="N126" s="1"/>
      <c r="O126" s="23"/>
      <c r="R126" s="10"/>
    </row>
    <row r="127" customFormat="false" ht="15" hidden="false" customHeight="false" outlineLevel="0" collapsed="false">
      <c r="F127" s="1"/>
      <c r="G127" s="1"/>
      <c r="H127" s="1"/>
      <c r="J127" s="1"/>
      <c r="K127" s="1"/>
      <c r="N127" s="1"/>
      <c r="R127" s="10"/>
    </row>
    <row r="128" customFormat="false" ht="15" hidden="false" customHeight="false" outlineLevel="0" collapsed="false">
      <c r="A128" s="1"/>
      <c r="D128" s="1"/>
      <c r="F128" s="1"/>
      <c r="G128" s="1"/>
      <c r="H128" s="1"/>
      <c r="J128" s="1"/>
      <c r="K128" s="1"/>
      <c r="M128" s="23"/>
      <c r="N128" s="1"/>
      <c r="O128" s="23"/>
      <c r="R128" s="10"/>
    </row>
    <row r="129" customFormat="false" ht="15" hidden="false" customHeight="false" outlineLevel="0" collapsed="false">
      <c r="A129" s="1"/>
      <c r="D129" s="1"/>
      <c r="F129" s="1"/>
      <c r="G129" s="1"/>
      <c r="H129" s="1"/>
      <c r="J129" s="1"/>
      <c r="K129" s="1"/>
      <c r="M129" s="23"/>
      <c r="N129" s="1"/>
      <c r="O129" s="23"/>
      <c r="R129" s="10"/>
    </row>
    <row r="130" customFormat="false" ht="15" hidden="false" customHeight="false" outlineLevel="0" collapsed="false">
      <c r="A130" s="1"/>
      <c r="D130" s="1"/>
      <c r="F130" s="1"/>
      <c r="G130" s="1"/>
      <c r="H130" s="1"/>
      <c r="J130" s="1"/>
      <c r="K130" s="1"/>
      <c r="M130" s="23"/>
      <c r="N130" s="1"/>
      <c r="O130" s="23"/>
      <c r="R130" s="10"/>
    </row>
    <row r="131" customFormat="false" ht="15" hidden="false" customHeight="false" outlineLevel="0" collapsed="false">
      <c r="A131" s="1"/>
      <c r="D131" s="1"/>
      <c r="F131" s="1"/>
      <c r="G131" s="1"/>
      <c r="H131" s="1"/>
      <c r="J131" s="1"/>
      <c r="K131" s="1"/>
      <c r="M131" s="23"/>
      <c r="N131" s="1"/>
      <c r="O131" s="23"/>
      <c r="R131" s="10"/>
    </row>
    <row r="132" customFormat="false" ht="15" hidden="false" customHeight="false" outlineLevel="0" collapsed="false">
      <c r="A132" s="1"/>
      <c r="D132" s="1"/>
      <c r="F132" s="1"/>
      <c r="G132" s="1"/>
      <c r="H132" s="1"/>
      <c r="J132" s="1"/>
      <c r="K132" s="1"/>
      <c r="M132" s="23"/>
      <c r="N132" s="1"/>
      <c r="O132" s="23"/>
      <c r="R132" s="10"/>
    </row>
    <row r="133" customFormat="false" ht="15" hidden="false" customHeight="false" outlineLevel="0" collapsed="false">
      <c r="A133" s="1"/>
      <c r="D133" s="1"/>
      <c r="F133" s="1"/>
      <c r="G133" s="1"/>
      <c r="H133" s="1"/>
      <c r="J133" s="1"/>
      <c r="K133" s="1"/>
      <c r="M133" s="23"/>
      <c r="N133" s="1"/>
      <c r="O133" s="23"/>
      <c r="R133" s="10"/>
    </row>
    <row r="134" customFormat="false" ht="15" hidden="false" customHeight="false" outlineLevel="0" collapsed="false">
      <c r="A134" s="1"/>
      <c r="D134" s="1"/>
      <c r="F134" s="1"/>
      <c r="G134" s="1"/>
      <c r="H134" s="1"/>
      <c r="J134" s="1"/>
      <c r="K134" s="1"/>
      <c r="M134" s="23"/>
      <c r="N134" s="1"/>
      <c r="O134" s="23"/>
      <c r="R134" s="10"/>
    </row>
    <row r="135" customFormat="false" ht="15" hidden="false" customHeight="false" outlineLevel="0" collapsed="false">
      <c r="A135" s="1"/>
      <c r="D135" s="1"/>
      <c r="F135" s="1"/>
      <c r="G135" s="1"/>
      <c r="H135" s="1"/>
      <c r="J135" s="1"/>
      <c r="K135" s="1"/>
      <c r="M135" s="23"/>
      <c r="N135" s="1"/>
      <c r="O135" s="23"/>
      <c r="R135" s="10"/>
    </row>
    <row r="136" customFormat="false" ht="15" hidden="false" customHeight="false" outlineLevel="0" collapsed="false">
      <c r="A136" s="1"/>
      <c r="D136" s="1"/>
      <c r="F136" s="1"/>
      <c r="G136" s="1"/>
      <c r="H136" s="1"/>
      <c r="J136" s="1"/>
      <c r="K136" s="1"/>
      <c r="M136" s="23"/>
      <c r="N136" s="1"/>
      <c r="O136" s="23"/>
      <c r="R136" s="10"/>
    </row>
    <row r="137" customFormat="false" ht="15" hidden="false" customHeight="false" outlineLevel="0" collapsed="false">
      <c r="A137" s="1"/>
      <c r="D137" s="1"/>
      <c r="F137" s="1"/>
      <c r="H137" s="1"/>
      <c r="J137" s="1"/>
      <c r="K137" s="1"/>
      <c r="M137" s="23"/>
      <c r="N137" s="1"/>
      <c r="O137" s="23"/>
      <c r="R137" s="10"/>
    </row>
    <row r="138" customFormat="false" ht="15" hidden="false" customHeight="false" outlineLevel="0" collapsed="false">
      <c r="A138" s="1"/>
      <c r="D138" s="1"/>
      <c r="F138" s="1"/>
      <c r="H138" s="1"/>
      <c r="J138" s="1"/>
      <c r="K138" s="1"/>
      <c r="M138" s="23"/>
      <c r="N138" s="1"/>
      <c r="O138" s="23"/>
      <c r="R138" s="10"/>
    </row>
    <row r="139" customFormat="false" ht="15" hidden="false" customHeight="false" outlineLevel="0" collapsed="false">
      <c r="A139" s="1"/>
      <c r="D139" s="1"/>
      <c r="F139" s="1"/>
      <c r="H139" s="1"/>
      <c r="J139" s="1"/>
      <c r="K139" s="1"/>
      <c r="M139" s="23"/>
      <c r="N139" s="1"/>
      <c r="O139" s="23"/>
      <c r="R139" s="10"/>
    </row>
    <row r="140" customFormat="false" ht="15" hidden="false" customHeight="false" outlineLevel="0" collapsed="false">
      <c r="A140" s="1"/>
      <c r="D140" s="1"/>
      <c r="F140" s="1"/>
      <c r="H140" s="1"/>
      <c r="J140" s="1"/>
      <c r="K140" s="1"/>
      <c r="M140" s="23"/>
      <c r="N140" s="1"/>
      <c r="O140" s="23"/>
      <c r="R140" s="10"/>
    </row>
    <row r="142" customFormat="false" ht="15" hidden="false" customHeight="false" outlineLevel="0" collapsed="false">
      <c r="A142" s="1"/>
      <c r="H142" s="1"/>
      <c r="J142" s="1"/>
      <c r="K142" s="1"/>
      <c r="M142" s="23"/>
      <c r="N142" s="1"/>
      <c r="O142" s="23"/>
      <c r="R142" s="10"/>
    </row>
    <row r="143" customFormat="false" ht="15" hidden="false" customHeight="false" outlineLevel="0" collapsed="false">
      <c r="A143" s="1"/>
      <c r="H143" s="1"/>
      <c r="J143" s="1"/>
      <c r="K143" s="1"/>
      <c r="M143" s="23"/>
      <c r="N143" s="1"/>
      <c r="O143" s="23"/>
      <c r="R143" s="10"/>
    </row>
    <row r="144" customFormat="false" ht="15" hidden="false" customHeight="false" outlineLevel="0" collapsed="false">
      <c r="A144" s="1"/>
      <c r="H144" s="1"/>
      <c r="J144" s="1"/>
      <c r="K144" s="1"/>
      <c r="M144" s="23"/>
      <c r="N144" s="1"/>
      <c r="O144" s="23"/>
      <c r="R144" s="10"/>
    </row>
  </sheetData>
  <conditionalFormatting sqref="N26:N45">
    <cfRule type="containsText" priority="2" operator="containsText" aboveAverage="0" equalAverage="0" bottom="0" percent="0" rank="0" text="a montar" dxfId="665">
      <formula>NOT(ISERROR(SEARCH("a montar",N26)))</formula>
    </cfRule>
    <cfRule type="containsText" priority="3" operator="containsText" aboveAverage="0" equalAverage="0" bottom="0" percent="0" rank="0" text="a serrar" dxfId="666">
      <formula>NOT(ISERROR(SEARCH("a serrar",N26)))</formula>
    </cfRule>
    <cfRule type="containsText" priority="4" operator="containsText" aboveAverage="0" equalAverage="0" bottom="0" percent="0" rank="0" text="pronto" dxfId="667">
      <formula>NOT(ISERROR(SEARCH("pronto",N26)))</formula>
    </cfRule>
    <cfRule type="containsText" priority="5" operator="containsText" aboveAverage="0" equalAverage="0" bottom="0" percent="0" rank="0" text="empreita" dxfId="668">
      <formula>NOT(ISERROR(SEARCH("empreita",N26)))</formula>
    </cfRule>
    <cfRule type="containsText" priority="6" operator="containsText" aboveAverage="0" equalAverage="0" bottom="0" percent="0" rank="0" text="previsto" dxfId="669">
      <formula>NOT(ISERROR(SEARCH("previsto",N26)))</formula>
    </cfRule>
    <cfRule type="containsText" priority="7" operator="containsText" aboveAverage="0" equalAverage="0" bottom="0" percent="0" rank="0" text="produzindo" dxfId="670">
      <formula>NOT(ISERROR(SEARCH("produzindo",N26)))</formula>
    </cfRule>
    <cfRule type="containsText" priority="8" operator="containsText" aboveAverage="0" equalAverage="0" bottom="0" percent="0" rank="0" text="material ok" dxfId="671">
      <formula>NOT(ISERROR(SEARCH("material ok",N26)))</formula>
    </cfRule>
  </conditionalFormatting>
  <conditionalFormatting sqref="N47:N51">
    <cfRule type="containsText" priority="9" operator="containsText" aboveAverage="0" equalAverage="0" bottom="0" percent="0" rank="0" text="a montar" dxfId="672">
      <formula>NOT(ISERROR(SEARCH("a montar",N47)))</formula>
    </cfRule>
  </conditionalFormatting>
  <conditionalFormatting sqref="N23:N24">
    <cfRule type="containsText" priority="10" operator="containsText" aboveAverage="0" equalAverage="0" bottom="0" percent="0" rank="0" text="a montar" dxfId="673">
      <formula>NOT(ISERROR(SEARCH("a montar",N23)))</formula>
    </cfRule>
    <cfRule type="containsText" priority="11" operator="containsText" aboveAverage="0" equalAverage="0" bottom="0" percent="0" rank="0" text="a serrar" dxfId="674">
      <formula>NOT(ISERROR(SEARCH("a serrar",N23)))</formula>
    </cfRule>
    <cfRule type="containsText" priority="12" operator="containsText" aboveAverage="0" equalAverage="0" bottom="0" percent="0" rank="0" text="pronto" dxfId="675">
      <formula>NOT(ISERROR(SEARCH("pronto",N23)))</formula>
    </cfRule>
    <cfRule type="containsText" priority="13" operator="containsText" aboveAverage="0" equalAverage="0" bottom="0" percent="0" rank="0" text="empreita" dxfId="676">
      <formula>NOT(ISERROR(SEARCH("empreita",N23)))</formula>
    </cfRule>
    <cfRule type="containsText" priority="14" operator="containsText" aboveAverage="0" equalAverage="0" bottom="0" percent="0" rank="0" text="previsto" dxfId="677">
      <formula>NOT(ISERROR(SEARCH("previsto",N23)))</formula>
    </cfRule>
    <cfRule type="containsText" priority="15" operator="containsText" aboveAverage="0" equalAverage="0" bottom="0" percent="0" rank="0" text="produzindo" dxfId="678">
      <formula>NOT(ISERROR(SEARCH("produzindo",N23)))</formula>
    </cfRule>
    <cfRule type="containsText" priority="16" operator="containsText" aboveAverage="0" equalAverage="0" bottom="0" percent="0" rank="0" text="material ok" dxfId="679">
      <formula>NOT(ISERROR(SEARCH("material ok",N23)))</formula>
    </cfRule>
  </conditionalFormatting>
  <conditionalFormatting sqref="N1:N4">
    <cfRule type="containsText" priority="17" operator="containsText" aboveAverage="0" equalAverage="0" bottom="0" percent="0" rank="0" text="a montar" dxfId="680">
      <formula>NOT(ISERROR(SEARCH("a montar",N1)))</formula>
    </cfRule>
    <cfRule type="containsText" priority="18" operator="containsText" aboveAverage="0" equalAverage="0" bottom="0" percent="0" rank="0" text="a serrar" dxfId="681">
      <formula>NOT(ISERROR(SEARCH("a serrar",N1)))</formula>
    </cfRule>
    <cfRule type="containsText" priority="19" operator="containsText" aboveAverage="0" equalAverage="0" bottom="0" percent="0" rank="0" text="pronto" dxfId="682">
      <formula>NOT(ISERROR(SEARCH("pronto",N1)))</formula>
    </cfRule>
    <cfRule type="containsText" priority="20" operator="containsText" aboveAverage="0" equalAverage="0" bottom="0" percent="0" rank="0" text="empreita" dxfId="683">
      <formula>NOT(ISERROR(SEARCH("empreita",N1)))</formula>
    </cfRule>
    <cfRule type="containsText" priority="21" operator="containsText" aboveAverage="0" equalAverage="0" bottom="0" percent="0" rank="0" text="previsto" dxfId="684">
      <formula>NOT(ISERROR(SEARCH("previsto",N1)))</formula>
    </cfRule>
    <cfRule type="containsText" priority="22" operator="containsText" aboveAverage="0" equalAverage="0" bottom="0" percent="0" rank="0" text="produzindo" dxfId="685">
      <formula>NOT(ISERROR(SEARCH("produzindo",N1)))</formula>
    </cfRule>
    <cfRule type="containsText" priority="23" operator="containsText" aboveAverage="0" equalAverage="0" bottom="0" percent="0" rank="0" text="material ok" dxfId="686">
      <formula>NOT(ISERROR(SEARCH("material ok",N1)))</formula>
    </cfRule>
  </conditionalFormatting>
  <conditionalFormatting sqref="N15:N21">
    <cfRule type="containsText" priority="24" operator="containsText" aboveAverage="0" equalAverage="0" bottom="0" percent="0" rank="0" text="a montar" dxfId="687">
      <formula>NOT(ISERROR(SEARCH("a montar",N15)))</formula>
    </cfRule>
    <cfRule type="containsText" priority="25" operator="containsText" aboveAverage="0" equalAverage="0" bottom="0" percent="0" rank="0" text="a serrar" dxfId="688">
      <formula>NOT(ISERROR(SEARCH("a serrar",N15)))</formula>
    </cfRule>
    <cfRule type="containsText" priority="26" operator="containsText" aboveAverage="0" equalAverage="0" bottom="0" percent="0" rank="0" text="pronto" dxfId="689">
      <formula>NOT(ISERROR(SEARCH("pronto",N15)))</formula>
    </cfRule>
    <cfRule type="containsText" priority="27" operator="containsText" aboveAverage="0" equalAverage="0" bottom="0" percent="0" rank="0" text="empreita" dxfId="690">
      <formula>NOT(ISERROR(SEARCH("empreita",N15)))</formula>
    </cfRule>
    <cfRule type="containsText" priority="28" operator="containsText" aboveAverage="0" equalAverage="0" bottom="0" percent="0" rank="0" text="previsto" dxfId="691">
      <formula>NOT(ISERROR(SEARCH("previsto",N15)))</formula>
    </cfRule>
    <cfRule type="containsText" priority="29" operator="containsText" aboveAverage="0" equalAverage="0" bottom="0" percent="0" rank="0" text="produzindo" dxfId="692">
      <formula>NOT(ISERROR(SEARCH("produzindo",N15)))</formula>
    </cfRule>
    <cfRule type="containsText" priority="30" operator="containsText" aboveAverage="0" equalAverage="0" bottom="0" percent="0" rank="0" text="material ok" dxfId="693">
      <formula>NOT(ISERROR(SEARCH("material ok",N15)))</formula>
    </cfRule>
  </conditionalFormatting>
  <conditionalFormatting sqref="N6:N11">
    <cfRule type="containsText" priority="31" operator="containsText" aboveAverage="0" equalAverage="0" bottom="0" percent="0" rank="0" text="a montar" dxfId="694">
      <formula>NOT(ISERROR(SEARCH("a montar",N6)))</formula>
    </cfRule>
    <cfRule type="containsText" priority="32" operator="containsText" aboveAverage="0" equalAverage="0" bottom="0" percent="0" rank="0" text="a serrar" dxfId="695">
      <formula>NOT(ISERROR(SEARCH("a serrar",N6)))</formula>
    </cfRule>
    <cfRule type="containsText" priority="33" operator="containsText" aboveAverage="0" equalAverage="0" bottom="0" percent="0" rank="0" text="pronto" dxfId="696">
      <formula>NOT(ISERROR(SEARCH("pronto",N6)))</formula>
    </cfRule>
    <cfRule type="containsText" priority="34" operator="containsText" aboveAverage="0" equalAverage="0" bottom="0" percent="0" rank="0" text="empreita" dxfId="697">
      <formula>NOT(ISERROR(SEARCH("empreita",N6)))</formula>
    </cfRule>
    <cfRule type="containsText" priority="35" operator="containsText" aboveAverage="0" equalAverage="0" bottom="0" percent="0" rank="0" text="previsto" dxfId="698">
      <formula>NOT(ISERROR(SEARCH("previsto",N6)))</formula>
    </cfRule>
    <cfRule type="containsText" priority="36" operator="containsText" aboveAverage="0" equalAverage="0" bottom="0" percent="0" rank="0" text="produzindo" dxfId="699">
      <formula>NOT(ISERROR(SEARCH("produzindo",N6)))</formula>
    </cfRule>
    <cfRule type="containsText" priority="37" operator="containsText" aboveAverage="0" equalAverage="0" bottom="0" percent="0" rank="0" text="material ok" dxfId="700">
      <formula>NOT(ISERROR(SEARCH("material ok",N6)))</formula>
    </cfRule>
  </conditionalFormatting>
  <conditionalFormatting sqref="N13">
    <cfRule type="containsText" priority="38" operator="containsText" aboveAverage="0" equalAverage="0" bottom="0" percent="0" rank="0" text="a montar" dxfId="701">
      <formula>NOT(ISERROR(SEARCH("a montar",N13)))</formula>
    </cfRule>
    <cfRule type="containsText" priority="39" operator="containsText" aboveAverage="0" equalAverage="0" bottom="0" percent="0" rank="0" text="a serrar" dxfId="702">
      <formula>NOT(ISERROR(SEARCH("a serrar",N13)))</formula>
    </cfRule>
    <cfRule type="containsText" priority="40" operator="containsText" aboveAverage="0" equalAverage="0" bottom="0" percent="0" rank="0" text="pronto" dxfId="703">
      <formula>NOT(ISERROR(SEARCH("pronto",N13)))</formula>
    </cfRule>
    <cfRule type="containsText" priority="41" operator="containsText" aboveAverage="0" equalAverage="0" bottom="0" percent="0" rank="0" text="empreita" dxfId="704">
      <formula>NOT(ISERROR(SEARCH("empreita",N13)))</formula>
    </cfRule>
    <cfRule type="containsText" priority="42" operator="containsText" aboveAverage="0" equalAverage="0" bottom="0" percent="0" rank="0" text="previsto" dxfId="705">
      <formula>NOT(ISERROR(SEARCH("previsto",N13)))</formula>
    </cfRule>
    <cfRule type="containsText" priority="43" operator="containsText" aboveAverage="0" equalAverage="0" bottom="0" percent="0" rank="0" text="produzindo" dxfId="706">
      <formula>NOT(ISERROR(SEARCH("produzindo",N13)))</formula>
    </cfRule>
    <cfRule type="containsText" priority="44" operator="containsText" aboveAverage="0" equalAverage="0" bottom="0" percent="0" rank="0" text="material ok" dxfId="707">
      <formula>NOT(ISERROR(SEARCH("material ok",N13)))</formula>
    </cfRule>
  </conditionalFormatting>
  <conditionalFormatting sqref="N94">
    <cfRule type="containsText" priority="45" operator="containsText" aboveAverage="0" equalAverage="0" bottom="0" percent="0" rank="0" text="a montar" dxfId="708">
      <formula>NOT(ISERROR(SEARCH("a montar",N94)))</formula>
    </cfRule>
    <cfRule type="containsText" priority="46" operator="containsText" aboveAverage="0" equalAverage="0" bottom="0" percent="0" rank="0" text="a serrar" dxfId="709">
      <formula>NOT(ISERROR(SEARCH("a serrar",N94)))</formula>
    </cfRule>
    <cfRule type="containsText" priority="47" operator="containsText" aboveAverage="0" equalAverage="0" bottom="0" percent="0" rank="0" text="pronto" dxfId="710">
      <formula>NOT(ISERROR(SEARCH("pronto",N94)))</formula>
    </cfRule>
    <cfRule type="containsText" priority="48" operator="containsText" aboveAverage="0" equalAverage="0" bottom="0" percent="0" rank="0" text="empreita" dxfId="711">
      <formula>NOT(ISERROR(SEARCH("empreita",N94)))</formula>
    </cfRule>
    <cfRule type="containsText" priority="49" operator="containsText" aboveAverage="0" equalAverage="0" bottom="0" percent="0" rank="0" text="previsto" dxfId="712">
      <formula>NOT(ISERROR(SEARCH("previsto",N94)))</formula>
    </cfRule>
    <cfRule type="containsText" priority="50" operator="containsText" aboveAverage="0" equalAverage="0" bottom="0" percent="0" rank="0" text="produzindo" dxfId="713">
      <formula>NOT(ISERROR(SEARCH("produzindo",N94)))</formula>
    </cfRule>
    <cfRule type="containsText" priority="51" operator="containsText" aboveAverage="0" equalAverage="0" bottom="0" percent="0" rank="0" text="material ok" dxfId="714">
      <formula>NOT(ISERROR(SEARCH("material ok",N94)))</formula>
    </cfRule>
    <cfRule type="containsText" priority="52" operator="containsText" aboveAverage="0" equalAverage="0" bottom="0" percent="0" rank="0" text="a montar" dxfId="715">
      <formula>NOT(ISERROR(SEARCH("a montar",N94)))</formula>
    </cfRule>
    <cfRule type="containsText" priority="53" operator="containsText" aboveAverage="0" equalAverage="0" bottom="0" percent="0" rank="0" text="a serrar" dxfId="716">
      <formula>NOT(ISERROR(SEARCH("a serrar",N94)))</formula>
    </cfRule>
    <cfRule type="containsText" priority="54" operator="containsText" aboveAverage="0" equalAverage="0" bottom="0" percent="0" rank="0" text="pronto" dxfId="717">
      <formula>NOT(ISERROR(SEARCH("pronto",N94)))</formula>
    </cfRule>
    <cfRule type="containsText" priority="55" operator="containsText" aboveAverage="0" equalAverage="0" bottom="0" percent="0" rank="0" text="empreita" dxfId="718">
      <formula>NOT(ISERROR(SEARCH("empreita",N94)))</formula>
    </cfRule>
    <cfRule type="containsText" priority="56" operator="containsText" aboveAverage="0" equalAverage="0" bottom="0" percent="0" rank="0" text="previsto" dxfId="719">
      <formula>NOT(ISERROR(SEARCH("previsto",N94)))</formula>
    </cfRule>
    <cfRule type="containsText" priority="57" operator="containsText" aboveAverage="0" equalAverage="0" bottom="0" percent="0" rank="0" text="produzindo" dxfId="720">
      <formula>NOT(ISERROR(SEARCH("produzindo",N94)))</formula>
    </cfRule>
    <cfRule type="containsText" priority="58" operator="containsText" aboveAverage="0" equalAverage="0" bottom="0" percent="0" rank="0" text="material ok" dxfId="721">
      <formula>NOT(ISERROR(SEARCH("material ok",N94)))</formula>
    </cfRule>
  </conditionalFormatting>
  <conditionalFormatting sqref="N67:N88">
    <cfRule type="containsText" priority="59" operator="containsText" aboveAverage="0" equalAverage="0" bottom="0" percent="0" rank="0" text="a montar" dxfId="722">
      <formula>NOT(ISERROR(SEARCH("a montar",N67)))</formula>
    </cfRule>
    <cfRule type="containsText" priority="60" operator="containsText" aboveAverage="0" equalAverage="0" bottom="0" percent="0" rank="0" text="a serrar" dxfId="723">
      <formula>NOT(ISERROR(SEARCH("a serrar",N67)))</formula>
    </cfRule>
    <cfRule type="containsText" priority="61" operator="containsText" aboveAverage="0" equalAverage="0" bottom="0" percent="0" rank="0" text="pronto" dxfId="724">
      <formula>NOT(ISERROR(SEARCH("pronto",N67)))</formula>
    </cfRule>
    <cfRule type="containsText" priority="62" operator="containsText" aboveAverage="0" equalAverage="0" bottom="0" percent="0" rank="0" text="empreita" dxfId="725">
      <formula>NOT(ISERROR(SEARCH("empreita",N67)))</formula>
    </cfRule>
    <cfRule type="containsText" priority="63" operator="containsText" aboveAverage="0" equalAverage="0" bottom="0" percent="0" rank="0" text="previsto" dxfId="726">
      <formula>NOT(ISERROR(SEARCH("previsto",N67)))</formula>
    </cfRule>
    <cfRule type="containsText" priority="64" operator="containsText" aboveAverage="0" equalAverage="0" bottom="0" percent="0" rank="0" text="produzindo" dxfId="727">
      <formula>NOT(ISERROR(SEARCH("produzindo",N67)))</formula>
    </cfRule>
    <cfRule type="containsText" priority="65" operator="containsText" aboveAverage="0" equalAverage="0" bottom="0" percent="0" rank="0" text="material ok" dxfId="728">
      <formula>NOT(ISERROR(SEARCH("material ok",N67)))</formula>
    </cfRule>
  </conditionalFormatting>
  <conditionalFormatting sqref="N90:N95">
    <cfRule type="containsText" priority="66" operator="containsText" aboveAverage="0" equalAverage="0" bottom="0" percent="0" rank="0" text="a montar" dxfId="729">
      <formula>NOT(ISERROR(SEARCH("a montar",N90)))</formula>
    </cfRule>
    <cfRule type="containsText" priority="67" operator="containsText" aboveAverage="0" equalAverage="0" bottom="0" percent="0" rank="0" text="a serrar" dxfId="730">
      <formula>NOT(ISERROR(SEARCH("a serrar",N90)))</formula>
    </cfRule>
    <cfRule type="containsText" priority="68" operator="containsText" aboveAverage="0" equalAverage="0" bottom="0" percent="0" rank="0" text="pronto" dxfId="731">
      <formula>NOT(ISERROR(SEARCH("pronto",N90)))</formula>
    </cfRule>
    <cfRule type="containsText" priority="69" operator="containsText" aboveAverage="0" equalAverage="0" bottom="0" percent="0" rank="0" text="empreita" dxfId="732">
      <formula>NOT(ISERROR(SEARCH("empreita",N90)))</formula>
    </cfRule>
    <cfRule type="containsText" priority="70" operator="containsText" aboveAverage="0" equalAverage="0" bottom="0" percent="0" rank="0" text="previsto" dxfId="733">
      <formula>NOT(ISERROR(SEARCH("previsto",N90)))</formula>
    </cfRule>
    <cfRule type="containsText" priority="71" operator="containsText" aboveAverage="0" equalAverage="0" bottom="0" percent="0" rank="0" text="produzindo" dxfId="734">
      <formula>NOT(ISERROR(SEARCH("produzindo",N90)))</formula>
    </cfRule>
    <cfRule type="containsText" priority="72" operator="containsText" aboveAverage="0" equalAverage="0" bottom="0" percent="0" rank="0" text="material ok" dxfId="735">
      <formula>NOT(ISERROR(SEARCH("material ok",N90)))</formula>
    </cfRule>
  </conditionalFormatting>
  <conditionalFormatting sqref="M1 N56 N58 N61 N64">
    <cfRule type="containsText" priority="73" operator="containsText" aboveAverage="0" equalAverage="0" bottom="0" percent="0" rank="0" text="a montar" dxfId="736">
      <formula>NOT(ISERROR(SEARCH("a montar",M1)))</formula>
    </cfRule>
  </conditionalFormatting>
  <conditionalFormatting sqref="M1 N56 N58 N61 N64 N47:N51">
    <cfRule type="containsText" priority="74" operator="containsText" aboveAverage="0" equalAverage="0" bottom="0" percent="0" rank="0" text="a serrar" dxfId="737">
      <formula>NOT(ISERROR(SEARCH("a serrar",M1)))</formula>
    </cfRule>
  </conditionalFormatting>
  <conditionalFormatting sqref="M1 N47:N51 N56 N58 N61 N64">
    <cfRule type="containsText" priority="75" operator="containsText" aboveAverage="0" equalAverage="0" bottom="0" percent="0" rank="0" text="pronto" dxfId="738">
      <formula>NOT(ISERROR(SEARCH("pronto",M1)))</formula>
    </cfRule>
    <cfRule type="containsText" priority="76" operator="containsText" aboveAverage="0" equalAverage="0" bottom="0" percent="0" rank="0" text="empreita" dxfId="739">
      <formula>NOT(ISERROR(SEARCH("empreita",M1)))</formula>
    </cfRule>
    <cfRule type="containsText" priority="77" operator="containsText" aboveAverage="0" equalAverage="0" bottom="0" percent="0" rank="0" text="previsto" dxfId="740">
      <formula>NOT(ISERROR(SEARCH("previsto",M1)))</formula>
    </cfRule>
    <cfRule type="containsText" priority="78" operator="containsText" aboveAverage="0" equalAverage="0" bottom="0" percent="0" rank="0" text="produzindo" dxfId="741">
      <formula>NOT(ISERROR(SEARCH("produzindo",M1)))</formula>
    </cfRule>
    <cfRule type="containsText" priority="79" operator="containsText" aboveAverage="0" equalAverage="0" bottom="0" percent="0" rank="0" text="material ok" dxfId="742">
      <formula>NOT(ISERROR(SEARCH("material ok",M1)))</formula>
    </cfRule>
  </conditionalFormatting>
  <conditionalFormatting sqref="N42 J1 N97:N102">
    <cfRule type="containsText" priority="80" operator="containsText" aboveAverage="0" equalAverage="0" bottom="0" percent="0" rank="0" text="a montar" dxfId="743">
      <formula>NOT(ISERROR(SEARCH("a montar",J1)))</formula>
    </cfRule>
  </conditionalFormatting>
  <conditionalFormatting sqref="J1 N41:N45 N97:N102 N47:N51 N56 N58 N61 N64 N67:N84 N104:N140 N142:N144">
    <cfRule type="containsText" priority="81" operator="containsText" aboveAverage="0" equalAverage="0" bottom="0" percent="0" rank="0" text="a serrar" dxfId="744">
      <formula>NOT(ISERROR(SEARCH("a serrar",J1)))</formula>
    </cfRule>
  </conditionalFormatting>
  <conditionalFormatting sqref="J1 N41:N45 N47:N51 N56 N58 N61 N64 N67:N84 N97:N102 N104:N140 N142:N144">
    <cfRule type="containsText" priority="82" operator="containsText" aboveAverage="0" equalAverage="0" bottom="0" percent="0" rank="0" text="pronto" dxfId="745">
      <formula>NOT(ISERROR(SEARCH("pronto",J1)))</formula>
    </cfRule>
    <cfRule type="containsText" priority="83" operator="containsText" aboveAverage="0" equalAverage="0" bottom="0" percent="0" rank="0" text="empreita" dxfId="746">
      <formula>NOT(ISERROR(SEARCH("empreita",J1)))</formula>
    </cfRule>
    <cfRule type="containsText" priority="84" operator="containsText" aboveAverage="0" equalAverage="0" bottom="0" percent="0" rank="0" text="previsto" dxfId="747">
      <formula>NOT(ISERROR(SEARCH("previsto",J1)))</formula>
    </cfRule>
    <cfRule type="containsText" priority="85" operator="containsText" aboveAverage="0" equalAverage="0" bottom="0" percent="0" rank="0" text="produzindo" dxfId="748">
      <formula>NOT(ISERROR(SEARCH("produzindo",J1)))</formula>
    </cfRule>
    <cfRule type="containsText" priority="86" operator="containsText" aboveAverage="0" equalAverage="0" bottom="0" percent="0" rank="0" text="material ok" dxfId="749">
      <formula>NOT(ISERROR(SEARCH("material ok",J1)))</formula>
    </cfRule>
  </conditionalFormatting>
  <conditionalFormatting sqref="N41:N45 N47:N51 N56 N58 N61 N64 N67:N84 N104:N140 N142:N144 N94:N95 N32 N36 N38">
    <cfRule type="containsText" priority="87" operator="containsText" aboveAverage="0" equalAverage="0" bottom="0" percent="0" rank="0" text="a montar" dxfId="750">
      <formula>NOT(ISERROR(SEARCH("a montar",N32)))</formula>
    </cfRule>
  </conditionalFormatting>
  <conditionalFormatting sqref="N32 N36 N38 N94:N95">
    <cfRule type="containsText" priority="88" operator="containsText" aboveAverage="0" equalAverage="0" bottom="0" percent="0" rank="0" text="a serrar" dxfId="751">
      <formula>NOT(ISERROR(SEARCH("a serrar",N32)))</formula>
    </cfRule>
    <cfRule type="containsText" priority="89" operator="containsText" aboveAverage="0" equalAverage="0" bottom="0" percent="0" rank="0" text="pronto" dxfId="752">
      <formula>NOT(ISERROR(SEARCH("pronto",N32)))</formula>
    </cfRule>
    <cfRule type="containsText" priority="90" operator="containsText" aboveAverage="0" equalAverage="0" bottom="0" percent="0" rank="0" text="empreita" dxfId="753">
      <formula>NOT(ISERROR(SEARCH("empreita",N32)))</formula>
    </cfRule>
    <cfRule type="containsText" priority="91" operator="containsText" aboveAverage="0" equalAverage="0" bottom="0" percent="0" rank="0" text="previsto" dxfId="754">
      <formula>NOT(ISERROR(SEARCH("previsto",N32)))</formula>
    </cfRule>
    <cfRule type="containsText" priority="92" operator="containsText" aboveAverage="0" equalAverage="0" bottom="0" percent="0" rank="0" text="produzindo" dxfId="755">
      <formula>NOT(ISERROR(SEARCH("produzindo",N32)))</formula>
    </cfRule>
    <cfRule type="containsText" priority="93" operator="containsText" aboveAverage="0" equalAverage="0" bottom="0" percent="0" rank="0" text="material ok" dxfId="756">
      <formula>NOT(ISERROR(SEARCH("material ok",N32)))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7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S22" activeCellId="0" sqref="S2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2" style="0" width="17.43"/>
    <col collapsed="false" customWidth="true" hidden="false" outlineLevel="0" max="3" min="3" style="0" width="18.57"/>
    <col collapsed="false" customWidth="true" hidden="false" outlineLevel="0" max="4" min="4" style="0" width="7.72"/>
    <col collapsed="false" customWidth="true" hidden="false" outlineLevel="0" max="5" min="5" style="0" width="19.72"/>
    <col collapsed="false" customWidth="true" hidden="false" outlineLevel="0" max="7" min="7" style="0" width="11.28"/>
    <col collapsed="false" customWidth="true" hidden="false" outlineLevel="0" max="9" min="9" style="0" width="8.29"/>
    <col collapsed="false" customWidth="true" hidden="false" outlineLevel="0" max="11" min="11" style="0" width="15.28"/>
    <col collapsed="false" customWidth="true" hidden="false" outlineLevel="0" max="12" min="12" style="0" width="9.86"/>
    <col collapsed="false" customWidth="true" hidden="false" outlineLevel="0" max="13" min="13" style="0" width="13.86"/>
    <col collapsed="false" customWidth="true" hidden="false" outlineLevel="0" max="14" min="14" style="0" width="11"/>
    <col collapsed="false" customWidth="true" hidden="false" outlineLevel="0" max="15" min="15" style="0" width="11.72"/>
    <col collapsed="false" customWidth="true" hidden="false" outlineLevel="0" max="16" min="16" style="0" width="13.29"/>
    <col collapsed="false" customWidth="true" hidden="false" outlineLevel="0" max="18" min="18" style="0" width="12.14"/>
  </cols>
  <sheetData>
    <row r="1" customFormat="false" ht="16.4" hidden="false" customHeight="false" outlineLevel="0" collapsed="false">
      <c r="A1" s="1"/>
      <c r="C1" s="2"/>
      <c r="D1" s="1"/>
      <c r="F1" s="1"/>
      <c r="G1" s="1"/>
      <c r="H1" s="1"/>
      <c r="I1" s="1"/>
      <c r="J1" s="3" t="s">
        <v>0</v>
      </c>
      <c r="K1" s="4" t="s">
        <v>1</v>
      </c>
      <c r="L1" s="5" t="s">
        <v>2</v>
      </c>
      <c r="M1" s="6" t="s">
        <v>3</v>
      </c>
      <c r="N1" s="3" t="s">
        <v>4</v>
      </c>
      <c r="O1" s="7" t="s">
        <v>5</v>
      </c>
      <c r="P1" s="8" t="s">
        <v>6</v>
      </c>
      <c r="Q1" s="9" t="s">
        <v>3</v>
      </c>
      <c r="R1" s="10"/>
      <c r="S1" s="11"/>
    </row>
    <row r="2" customFormat="false" ht="15" hidden="false" customHeight="false" outlineLevel="0" collapsed="false">
      <c r="A2" s="1"/>
      <c r="C2" s="2"/>
      <c r="D2" s="1"/>
      <c r="F2" s="1"/>
      <c r="G2" s="1"/>
      <c r="H2" s="1"/>
      <c r="I2" s="1"/>
      <c r="J2" s="1"/>
      <c r="K2" s="12"/>
      <c r="L2" s="13"/>
      <c r="M2" s="14"/>
      <c r="N2" s="15"/>
      <c r="O2" s="10"/>
      <c r="P2" s="1"/>
      <c r="Q2" s="11"/>
      <c r="R2" s="10"/>
      <c r="S2" s="11"/>
    </row>
    <row r="3" customFormat="false" ht="16.4" hidden="false" customHeight="false" outlineLevel="0" collapsed="false">
      <c r="A3" s="16" t="s">
        <v>7</v>
      </c>
      <c r="B3" s="16" t="s">
        <v>8</v>
      </c>
      <c r="C3" s="16" t="s">
        <v>9</v>
      </c>
      <c r="D3" s="16"/>
      <c r="E3" s="16" t="s">
        <v>10</v>
      </c>
      <c r="F3" s="16" t="s">
        <v>11</v>
      </c>
      <c r="G3" s="16" t="s">
        <v>12</v>
      </c>
      <c r="H3" s="17" t="s">
        <v>13</v>
      </c>
      <c r="I3" s="16" t="s">
        <v>14</v>
      </c>
      <c r="J3" s="16" t="s">
        <v>15</v>
      </c>
      <c r="K3" s="16" t="s">
        <v>16</v>
      </c>
      <c r="L3" s="18" t="s">
        <v>17</v>
      </c>
      <c r="M3" s="18" t="s">
        <v>18</v>
      </c>
      <c r="N3" s="19" t="s">
        <v>19</v>
      </c>
      <c r="O3" s="18"/>
      <c r="P3" s="16" t="s">
        <v>20</v>
      </c>
      <c r="Q3" s="20"/>
      <c r="R3" s="21"/>
      <c r="S3" s="16" t="s">
        <v>21</v>
      </c>
    </row>
    <row r="4" customFormat="false" ht="16.4" hidden="false" customHeight="false" outlineLevel="0" collapsed="false">
      <c r="A4" s="1" t="n">
        <v>6157</v>
      </c>
      <c r="B4" s="0" t="s">
        <v>270</v>
      </c>
      <c r="D4" s="1"/>
      <c r="E4" s="0" t="s">
        <v>271</v>
      </c>
      <c r="F4" s="1"/>
      <c r="H4" s="1" t="e">
        <f aca="false">-((G4*100/F4)-100)</f>
        <v>#DIV/0!</v>
      </c>
      <c r="J4" s="1" t="n">
        <f aca="false">(F4-G4)*I4</f>
        <v>0</v>
      </c>
      <c r="K4" s="1" t="n">
        <f aca="false">G4*I4</f>
        <v>0</v>
      </c>
      <c r="M4" s="23" t="n">
        <v>262</v>
      </c>
      <c r="N4" s="3" t="s">
        <v>4</v>
      </c>
      <c r="O4" s="23" t="n">
        <v>262</v>
      </c>
      <c r="P4" s="0" t="s">
        <v>40</v>
      </c>
      <c r="R4" s="10" t="e">
        <f aca="false">(O4-L4)/G4</f>
        <v>#DIV/0!</v>
      </c>
    </row>
    <row r="5" customFormat="false" ht="16.4" hidden="false" customHeight="false" outlineLevel="0" collapsed="false">
      <c r="A5" s="1" t="n">
        <v>6157</v>
      </c>
      <c r="B5" s="0" t="s">
        <v>270</v>
      </c>
      <c r="D5" s="1"/>
      <c r="E5" s="0" t="s">
        <v>271</v>
      </c>
      <c r="H5" s="1" t="e">
        <f aca="false">-((G5*100/F5)-100)</f>
        <v>#DIV/0!</v>
      </c>
      <c r="J5" s="1" t="n">
        <f aca="false">(F5-G5)*I5</f>
        <v>0</v>
      </c>
      <c r="K5" s="1" t="n">
        <f aca="false">G5*I5</f>
        <v>0</v>
      </c>
      <c r="M5" s="23" t="n">
        <v>234</v>
      </c>
      <c r="N5" s="3" t="s">
        <v>4</v>
      </c>
      <c r="O5" s="23" t="n">
        <v>234</v>
      </c>
      <c r="P5" s="0" t="s">
        <v>40</v>
      </c>
      <c r="R5" s="10" t="e">
        <f aca="false">(O5-L5)/G5</f>
        <v>#DIV/0!</v>
      </c>
    </row>
    <row r="6" customFormat="false" ht="16.4" hidden="false" customHeight="false" outlineLevel="0" collapsed="false">
      <c r="A6" s="1" t="n">
        <v>0</v>
      </c>
      <c r="B6" s="0" t="s">
        <v>272</v>
      </c>
      <c r="C6" s="0" t="s">
        <v>273</v>
      </c>
      <c r="E6" s="0" t="s">
        <v>46</v>
      </c>
      <c r="F6" s="1" t="n">
        <v>0</v>
      </c>
      <c r="G6" s="1" t="n">
        <v>0</v>
      </c>
      <c r="H6" s="1" t="n">
        <v>0</v>
      </c>
      <c r="I6" s="33" t="n">
        <v>0</v>
      </c>
      <c r="J6" s="1" t="n">
        <v>0</v>
      </c>
      <c r="K6" s="1" t="n">
        <f aca="false">G6*I6</f>
        <v>0</v>
      </c>
      <c r="M6" s="23" t="n">
        <v>670</v>
      </c>
      <c r="N6" s="3" t="s">
        <v>4</v>
      </c>
      <c r="O6" s="23" t="n">
        <v>670</v>
      </c>
      <c r="P6" s="0" t="s">
        <v>274</v>
      </c>
      <c r="R6" s="10" t="e">
        <f aca="false">(O6-L6)/G6</f>
        <v>#DIV/0!</v>
      </c>
    </row>
    <row r="7" customFormat="false" ht="16.4" hidden="false" customHeight="false" outlineLevel="0" collapsed="false">
      <c r="A7" s="1" t="n">
        <v>0</v>
      </c>
      <c r="B7" s="0" t="s">
        <v>275</v>
      </c>
      <c r="C7" s="0" t="s">
        <v>276</v>
      </c>
      <c r="D7" s="1"/>
      <c r="E7" s="0" t="s">
        <v>46</v>
      </c>
      <c r="F7" s="1" t="n">
        <v>0</v>
      </c>
      <c r="G7" s="1" t="n">
        <v>0</v>
      </c>
      <c r="H7" s="1" t="e">
        <f aca="false">-((G7*100/F7)-100)</f>
        <v>#DIV/0!</v>
      </c>
      <c r="I7" s="0" t="n">
        <v>0</v>
      </c>
      <c r="J7" s="1" t="n">
        <f aca="false">(F7-G7)*I7</f>
        <v>0</v>
      </c>
      <c r="K7" s="1" t="n">
        <f aca="false">G7*I7</f>
        <v>0</v>
      </c>
      <c r="M7" s="23" t="n">
        <v>100</v>
      </c>
      <c r="N7" s="3" t="s">
        <v>4</v>
      </c>
      <c r="O7" s="23" t="n">
        <v>100</v>
      </c>
      <c r="P7" s="0" t="s">
        <v>40</v>
      </c>
      <c r="R7" s="10" t="e">
        <f aca="false">(O7-L7)/G7</f>
        <v>#DIV/0!</v>
      </c>
    </row>
    <row r="8" customFormat="false" ht="16.4" hidden="false" customHeight="false" outlineLevel="0" collapsed="false">
      <c r="A8" s="1" t="n">
        <v>6152</v>
      </c>
      <c r="B8" s="0" t="s">
        <v>277</v>
      </c>
      <c r="C8" s="0" t="s">
        <v>67</v>
      </c>
      <c r="D8" s="1"/>
      <c r="E8" s="0" t="s">
        <v>46</v>
      </c>
      <c r="F8" s="1" t="n">
        <v>3.28</v>
      </c>
      <c r="G8" s="1" t="n">
        <v>0</v>
      </c>
      <c r="H8" s="1" t="n">
        <f aca="false">-((G8*100/F8)-100)</f>
        <v>100</v>
      </c>
      <c r="I8" s="33" t="n">
        <v>0</v>
      </c>
      <c r="J8" s="1" t="n">
        <f aca="false">(F8-G8)*I8</f>
        <v>0</v>
      </c>
      <c r="K8" s="1" t="n">
        <f aca="false">G8*I8</f>
        <v>0</v>
      </c>
      <c r="M8" s="23" t="n">
        <v>3796</v>
      </c>
      <c r="N8" s="3" t="s">
        <v>4</v>
      </c>
      <c r="O8" s="23" t="n">
        <v>3796</v>
      </c>
      <c r="P8" s="0" t="s">
        <v>29</v>
      </c>
      <c r="R8" s="10" t="e">
        <f aca="false">(O8-L8)/G8</f>
        <v>#DIV/0!</v>
      </c>
    </row>
    <row r="9" customFormat="false" ht="16.4" hidden="false" customHeight="false" outlineLevel="0" collapsed="false">
      <c r="A9" s="1" t="n">
        <v>6154</v>
      </c>
      <c r="B9" s="0" t="s">
        <v>278</v>
      </c>
      <c r="C9" s="0" t="s">
        <v>279</v>
      </c>
      <c r="D9" s="1" t="s">
        <v>24</v>
      </c>
      <c r="E9" s="0" t="s">
        <v>243</v>
      </c>
      <c r="F9" s="1" t="n">
        <v>1.15</v>
      </c>
      <c r="G9" s="1" t="n">
        <v>1.05</v>
      </c>
      <c r="H9" s="1" t="n">
        <f aca="false">-((G9*100/F9)-100)</f>
        <v>8.69565217391303</v>
      </c>
      <c r="I9" s="33" t="n">
        <v>279</v>
      </c>
      <c r="J9" s="1" t="n">
        <f aca="false">(F9-G9)*I9</f>
        <v>27.9</v>
      </c>
      <c r="K9" s="1" t="n">
        <f aca="false">G9*I9</f>
        <v>292.95</v>
      </c>
      <c r="M9" s="23" t="n">
        <v>1423</v>
      </c>
      <c r="N9" s="3" t="s">
        <v>4</v>
      </c>
      <c r="O9" s="23" t="n">
        <v>1423</v>
      </c>
      <c r="P9" s="0" t="s">
        <v>29</v>
      </c>
      <c r="R9" s="10" t="n">
        <f aca="false">(O9-L9)/G9</f>
        <v>1355.2380952381</v>
      </c>
    </row>
    <row r="10" customFormat="false" ht="16.4" hidden="false" customHeight="false" outlineLevel="0" collapsed="false">
      <c r="A10" s="1" t="n">
        <v>6154</v>
      </c>
      <c r="B10" s="0" t="s">
        <v>278</v>
      </c>
      <c r="C10" s="0" t="s">
        <v>51</v>
      </c>
      <c r="D10" s="1" t="s">
        <v>24</v>
      </c>
      <c r="E10" s="0" t="s">
        <v>243</v>
      </c>
      <c r="F10" s="1" t="n">
        <v>1.75</v>
      </c>
      <c r="G10" s="1" t="n">
        <v>1.35</v>
      </c>
      <c r="H10" s="1" t="n">
        <f aca="false">-((G10*100/F10)-100)</f>
        <v>22.8571428571429</v>
      </c>
      <c r="I10" s="33" t="n">
        <v>279</v>
      </c>
      <c r="J10" s="1" t="n">
        <f aca="false">(F10-G10)*I10</f>
        <v>111.6</v>
      </c>
      <c r="K10" s="1" t="n">
        <f aca="false">G10*I10</f>
        <v>376.65</v>
      </c>
      <c r="M10" s="23" t="n">
        <v>2166</v>
      </c>
      <c r="N10" s="3" t="s">
        <v>4</v>
      </c>
      <c r="O10" s="23" t="n">
        <v>2166</v>
      </c>
      <c r="P10" s="0" t="s">
        <v>29</v>
      </c>
      <c r="R10" s="10" t="n">
        <f aca="false">(O10-L10)/G10</f>
        <v>1604.44444444444</v>
      </c>
    </row>
    <row r="11" customFormat="false" ht="16.4" hidden="false" customHeight="false" outlineLevel="0" collapsed="false">
      <c r="A11" s="1" t="n">
        <v>6128</v>
      </c>
      <c r="B11" s="0" t="s">
        <v>280</v>
      </c>
      <c r="C11" s="0" t="s">
        <v>281</v>
      </c>
      <c r="D11" s="1" t="s">
        <v>37</v>
      </c>
      <c r="E11" s="0" t="s">
        <v>38</v>
      </c>
      <c r="F11" s="1" t="n">
        <v>0.76</v>
      </c>
      <c r="G11" s="1" t="n">
        <v>0.76</v>
      </c>
      <c r="H11" s="1" t="n">
        <f aca="false">-((G11*100/F11)-100)</f>
        <v>-0</v>
      </c>
      <c r="I11" s="33" t="n">
        <v>450</v>
      </c>
      <c r="J11" s="1" t="n">
        <f aca="false">(F11-G11)*I11</f>
        <v>0</v>
      </c>
      <c r="K11" s="1" t="n">
        <f aca="false">G11*I11</f>
        <v>342</v>
      </c>
      <c r="M11" s="23" t="n">
        <v>1212</v>
      </c>
      <c r="N11" s="3" t="s">
        <v>4</v>
      </c>
      <c r="O11" s="23" t="n">
        <v>1212</v>
      </c>
      <c r="P11" s="0" t="s">
        <v>29</v>
      </c>
      <c r="R11" s="10" t="n">
        <f aca="false">(O11-L11)/G11</f>
        <v>1594.73684210526</v>
      </c>
    </row>
    <row r="12" customFormat="false" ht="16.4" hidden="false" customHeight="false" outlineLevel="0" collapsed="false">
      <c r="A12" s="1" t="n">
        <v>6159</v>
      </c>
      <c r="B12" s="0" t="s">
        <v>282</v>
      </c>
      <c r="C12" s="0" t="s">
        <v>283</v>
      </c>
      <c r="D12" s="1" t="s">
        <v>37</v>
      </c>
      <c r="E12" s="0" t="s">
        <v>38</v>
      </c>
      <c r="F12" s="1" t="n">
        <v>0.86</v>
      </c>
      <c r="G12" s="1" t="n">
        <v>0.86</v>
      </c>
      <c r="H12" s="1" t="n">
        <f aca="false">-((G12*100/F12)-100)</f>
        <v>-0</v>
      </c>
      <c r="I12" s="33" t="n">
        <v>450</v>
      </c>
      <c r="J12" s="1" t="n">
        <f aca="false">(F12-G12)*I12</f>
        <v>0</v>
      </c>
      <c r="K12" s="1" t="n">
        <f aca="false">G12*I12</f>
        <v>387</v>
      </c>
      <c r="M12" s="23" t="n">
        <v>1413</v>
      </c>
      <c r="N12" s="3" t="s">
        <v>4</v>
      </c>
      <c r="O12" s="23" t="n">
        <v>1413</v>
      </c>
      <c r="P12" s="0" t="s">
        <v>29</v>
      </c>
      <c r="R12" s="10" t="n">
        <f aca="false">(O12-L12)/G12</f>
        <v>1643.02325581395</v>
      </c>
    </row>
    <row r="13" customFormat="false" ht="16.4" hidden="false" customHeight="false" outlineLevel="0" collapsed="false">
      <c r="A13" s="1" t="n">
        <v>6159</v>
      </c>
      <c r="B13" s="0" t="s">
        <v>282</v>
      </c>
      <c r="C13" s="0" t="s">
        <v>57</v>
      </c>
      <c r="D13" s="1" t="s">
        <v>37</v>
      </c>
      <c r="E13" s="0" t="s">
        <v>38</v>
      </c>
      <c r="F13" s="1" t="n">
        <v>0.59</v>
      </c>
      <c r="G13" s="1" t="n">
        <v>0.59</v>
      </c>
      <c r="H13" s="1" t="n">
        <f aca="false">-((G13*100/F13)-100)</f>
        <v>-0</v>
      </c>
      <c r="I13" s="33" t="n">
        <v>450</v>
      </c>
      <c r="J13" s="1" t="n">
        <f aca="false">(F13-G13)*I13</f>
        <v>0</v>
      </c>
      <c r="K13" s="1" t="n">
        <f aca="false">G13*I13</f>
        <v>265.5</v>
      </c>
      <c r="M13" s="23" t="n">
        <v>969</v>
      </c>
      <c r="N13" s="3" t="s">
        <v>4</v>
      </c>
      <c r="O13" s="23" t="n">
        <v>969</v>
      </c>
      <c r="P13" s="0" t="s">
        <v>29</v>
      </c>
      <c r="R13" s="10" t="n">
        <f aca="false">(O13-L13)/G13</f>
        <v>1642.37288135593</v>
      </c>
    </row>
    <row r="14" customFormat="false" ht="16.4" hidden="false" customHeight="false" outlineLevel="0" collapsed="false">
      <c r="A14" s="1" t="n">
        <v>6158</v>
      </c>
      <c r="B14" s="0" t="s">
        <v>284</v>
      </c>
      <c r="C14" s="0" t="s">
        <v>45</v>
      </c>
      <c r="D14" s="1" t="s">
        <v>24</v>
      </c>
      <c r="E14" s="0" t="s">
        <v>35</v>
      </c>
      <c r="F14" s="1" t="n">
        <v>0.83</v>
      </c>
      <c r="G14" s="1" t="n">
        <v>0.83</v>
      </c>
      <c r="H14" s="1" t="n">
        <f aca="false">-((G14*100/F14)-100)</f>
        <v>-0</v>
      </c>
      <c r="I14" s="33" t="n">
        <v>277</v>
      </c>
      <c r="J14" s="1" t="n">
        <f aca="false">(F14-G14)*I14</f>
        <v>0</v>
      </c>
      <c r="K14" s="1" t="n">
        <f aca="false">G14*I14</f>
        <v>229.91</v>
      </c>
      <c r="M14" s="23" t="n">
        <v>923</v>
      </c>
      <c r="N14" s="3" t="s">
        <v>4</v>
      </c>
      <c r="O14" s="23" t="n">
        <v>923</v>
      </c>
      <c r="P14" s="0" t="s">
        <v>29</v>
      </c>
      <c r="R14" s="10" t="n">
        <f aca="false">(O14-L14)/G14</f>
        <v>1112.04819277108</v>
      </c>
    </row>
    <row r="15" customFormat="false" ht="16.4" hidden="false" customHeight="false" outlineLevel="0" collapsed="false">
      <c r="A15" s="1" t="n">
        <v>6158</v>
      </c>
      <c r="B15" s="0" t="s">
        <v>284</v>
      </c>
      <c r="C15" s="0" t="s">
        <v>212</v>
      </c>
      <c r="D15" s="1" t="s">
        <v>24</v>
      </c>
      <c r="E15" s="0" t="s">
        <v>35</v>
      </c>
      <c r="F15" s="1" t="n">
        <v>0.08</v>
      </c>
      <c r="G15" s="1" t="n">
        <v>0.08</v>
      </c>
      <c r="H15" s="1" t="n">
        <f aca="false">-((G15*100/F15)-100)</f>
        <v>-0</v>
      </c>
      <c r="I15" s="33" t="n">
        <v>277</v>
      </c>
      <c r="J15" s="1" t="n">
        <f aca="false">(F15-G15)*I15</f>
        <v>0</v>
      </c>
      <c r="K15" s="1" t="n">
        <f aca="false">G15*I15</f>
        <v>22.16</v>
      </c>
      <c r="M15" s="23" t="n">
        <v>201</v>
      </c>
      <c r="N15" s="3" t="s">
        <v>4</v>
      </c>
      <c r="O15" s="23" t="n">
        <v>201</v>
      </c>
      <c r="P15" s="0" t="s">
        <v>29</v>
      </c>
      <c r="R15" s="10" t="n">
        <f aca="false">(O15-L15)/G15</f>
        <v>2512.5</v>
      </c>
    </row>
    <row r="16" customFormat="false" ht="16.4" hidden="false" customHeight="false" outlineLevel="0" collapsed="false">
      <c r="A16" s="1" t="n">
        <v>6100</v>
      </c>
      <c r="B16" s="0" t="s">
        <v>222</v>
      </c>
      <c r="C16" s="0" t="s">
        <v>55</v>
      </c>
      <c r="D16" s="1" t="s">
        <v>37</v>
      </c>
      <c r="E16" s="0" t="s">
        <v>38</v>
      </c>
      <c r="F16" s="1" t="n">
        <v>4.1</v>
      </c>
      <c r="G16" s="1" t="n">
        <v>4.1</v>
      </c>
      <c r="H16" s="1" t="n">
        <f aca="false">-((G16*100/F16)-100)</f>
        <v>-0</v>
      </c>
      <c r="I16" s="33" t="n">
        <v>450</v>
      </c>
      <c r="J16" s="1" t="n">
        <f aca="false">(F16-G16)*I16</f>
        <v>0</v>
      </c>
      <c r="K16" s="1" t="n">
        <f aca="false">G16*I16</f>
        <v>1845</v>
      </c>
      <c r="M16" s="23" t="n">
        <v>5874</v>
      </c>
      <c r="N16" s="3" t="s">
        <v>4</v>
      </c>
      <c r="O16" s="23" t="n">
        <v>5874</v>
      </c>
      <c r="P16" s="0" t="s">
        <v>29</v>
      </c>
      <c r="R16" s="10" t="n">
        <f aca="false">(O16-L16)/G16</f>
        <v>1432.68292682927</v>
      </c>
    </row>
    <row r="17" customFormat="false" ht="16.4" hidden="false" customHeight="false" outlineLevel="0" collapsed="false">
      <c r="A17" s="1" t="n">
        <v>6100</v>
      </c>
      <c r="B17" s="0" t="s">
        <v>222</v>
      </c>
      <c r="C17" s="0" t="s">
        <v>140</v>
      </c>
      <c r="D17" s="1" t="s">
        <v>53</v>
      </c>
      <c r="E17" s="0" t="s">
        <v>68</v>
      </c>
      <c r="F17" s="1" t="n">
        <v>3.9</v>
      </c>
      <c r="G17" s="1" t="n">
        <v>3.9</v>
      </c>
      <c r="H17" s="1" t="n">
        <f aca="false">-((G17*100/F17)-100)</f>
        <v>-0</v>
      </c>
      <c r="I17" s="33" t="n">
        <v>582</v>
      </c>
      <c r="J17" s="1" t="n">
        <f aca="false">(F17-G17)*I17</f>
        <v>0</v>
      </c>
      <c r="K17" s="1" t="n">
        <f aca="false">G17*I17</f>
        <v>2269.8</v>
      </c>
      <c r="M17" s="23" t="n">
        <v>6263</v>
      </c>
      <c r="N17" s="3" t="s">
        <v>4</v>
      </c>
      <c r="O17" s="23" t="n">
        <v>6263</v>
      </c>
      <c r="P17" s="0" t="s">
        <v>29</v>
      </c>
      <c r="R17" s="10" t="n">
        <f aca="false">(O17-L17)/G17</f>
        <v>1605.89743589744</v>
      </c>
    </row>
    <row r="18" customFormat="false" ht="16.4" hidden="false" customHeight="false" outlineLevel="0" collapsed="false">
      <c r="A18" s="1" t="n">
        <v>6100</v>
      </c>
      <c r="B18" s="0" t="s">
        <v>222</v>
      </c>
      <c r="C18" s="0" t="s">
        <v>67</v>
      </c>
      <c r="D18" s="1" t="s">
        <v>53</v>
      </c>
      <c r="E18" s="0" t="s">
        <v>68</v>
      </c>
      <c r="F18" s="1" t="n">
        <v>0.93</v>
      </c>
      <c r="G18" s="1" t="n">
        <v>0.93</v>
      </c>
      <c r="H18" s="1" t="n">
        <f aca="false">-((G18*100/F18)-100)</f>
        <v>-0</v>
      </c>
      <c r="I18" s="33" t="n">
        <v>582</v>
      </c>
      <c r="J18" s="1" t="n">
        <f aca="false">(F18-G18)*I18</f>
        <v>0</v>
      </c>
      <c r="K18" s="1" t="n">
        <f aca="false">G18*I18</f>
        <v>541.26</v>
      </c>
      <c r="M18" s="23" t="n">
        <v>1494</v>
      </c>
      <c r="N18" s="3" t="s">
        <v>4</v>
      </c>
      <c r="O18" s="23" t="n">
        <v>1494</v>
      </c>
      <c r="P18" s="0" t="s">
        <v>29</v>
      </c>
      <c r="R18" s="10" t="n">
        <f aca="false">(O18-L18)/G18</f>
        <v>1606.45161290323</v>
      </c>
    </row>
    <row r="19" customFormat="false" ht="16.4" hidden="false" customHeight="false" outlineLevel="0" collapsed="false">
      <c r="A19" s="1" t="n">
        <v>6100</v>
      </c>
      <c r="B19" s="0" t="s">
        <v>222</v>
      </c>
      <c r="C19" s="0" t="s">
        <v>48</v>
      </c>
      <c r="D19" s="1" t="s">
        <v>53</v>
      </c>
      <c r="E19" s="0" t="s">
        <v>68</v>
      </c>
      <c r="F19" s="1" t="n">
        <v>3.1</v>
      </c>
      <c r="G19" s="1" t="n">
        <v>3.1</v>
      </c>
      <c r="H19" s="1" t="n">
        <f aca="false">-((G19*100/F19)-100)</f>
        <v>-0</v>
      </c>
      <c r="I19" s="33" t="n">
        <v>582</v>
      </c>
      <c r="J19" s="1" t="n">
        <f aca="false">(F19-G19)*I19</f>
        <v>0</v>
      </c>
      <c r="K19" s="1" t="n">
        <f aca="false">G19*I19</f>
        <v>1804.2</v>
      </c>
      <c r="M19" s="23" t="n">
        <v>4979</v>
      </c>
      <c r="N19" s="3" t="s">
        <v>4</v>
      </c>
      <c r="O19" s="23" t="n">
        <v>4979</v>
      </c>
      <c r="P19" s="0" t="s">
        <v>29</v>
      </c>
      <c r="R19" s="10" t="n">
        <f aca="false">(O19-L19)/G19</f>
        <v>1606.12903225806</v>
      </c>
    </row>
    <row r="20" customFormat="false" ht="16.4" hidden="false" customHeight="false" outlineLevel="0" collapsed="false">
      <c r="A20" s="1" t="n">
        <v>6100</v>
      </c>
      <c r="B20" s="0" t="s">
        <v>222</v>
      </c>
      <c r="C20" s="0" t="s">
        <v>285</v>
      </c>
      <c r="D20" s="1" t="s">
        <v>53</v>
      </c>
      <c r="E20" s="0" t="s">
        <v>68</v>
      </c>
      <c r="F20" s="1" t="n">
        <v>0.27</v>
      </c>
      <c r="G20" s="1" t="n">
        <v>0.27</v>
      </c>
      <c r="H20" s="1" t="n">
        <f aca="false">-((G20*100/F20)-100)</f>
        <v>-0</v>
      </c>
      <c r="I20" s="33" t="n">
        <v>582</v>
      </c>
      <c r="J20" s="1" t="n">
        <f aca="false">(F20-G20)*I20</f>
        <v>0</v>
      </c>
      <c r="K20" s="1" t="n">
        <f aca="false">G20*I20</f>
        <v>157.14</v>
      </c>
      <c r="M20" s="23" t="n">
        <v>180</v>
      </c>
      <c r="N20" s="3" t="s">
        <v>4</v>
      </c>
      <c r="O20" s="23" t="n">
        <v>180</v>
      </c>
      <c r="P20" s="0" t="s">
        <v>29</v>
      </c>
      <c r="R20" s="10" t="n">
        <f aca="false">(O20-L20)/G20</f>
        <v>666.666666666667</v>
      </c>
    </row>
    <row r="21" customFormat="false" ht="16.4" hidden="false" customHeight="false" outlineLevel="0" collapsed="false">
      <c r="A21" s="1" t="n">
        <v>6142</v>
      </c>
      <c r="B21" s="0" t="s">
        <v>159</v>
      </c>
      <c r="C21" s="0" t="s">
        <v>51</v>
      </c>
      <c r="D21" s="1" t="s">
        <v>37</v>
      </c>
      <c r="E21" s="0" t="s">
        <v>286</v>
      </c>
      <c r="F21" s="1" t="n">
        <v>5.29</v>
      </c>
      <c r="G21" s="24" t="n">
        <v>5.29</v>
      </c>
      <c r="H21" s="1" t="n">
        <f aca="false">-((G21*100/F21)-100)</f>
        <v>-0</v>
      </c>
      <c r="I21" s="33" t="n">
        <v>1234</v>
      </c>
      <c r="J21" s="1" t="n">
        <f aca="false">(F21-G21)*I21</f>
        <v>0</v>
      </c>
      <c r="K21" s="1" t="n">
        <f aca="false">G21*I21</f>
        <v>6527.86</v>
      </c>
      <c r="M21" s="23" t="n">
        <v>17363</v>
      </c>
      <c r="N21" s="3" t="s">
        <v>4</v>
      </c>
      <c r="O21" s="23" t="n">
        <v>17363</v>
      </c>
      <c r="P21" s="0" t="s">
        <v>29</v>
      </c>
      <c r="R21" s="10" t="n">
        <f aca="false">(O21-L21)/G21</f>
        <v>3282.23062381853</v>
      </c>
    </row>
    <row r="22" customFormat="false" ht="16.4" hidden="false" customHeight="false" outlineLevel="0" collapsed="false">
      <c r="A22" s="1" t="n">
        <v>6168</v>
      </c>
      <c r="B22" s="0" t="s">
        <v>287</v>
      </c>
      <c r="C22" s="0" t="s">
        <v>288</v>
      </c>
      <c r="E22" s="0" t="s">
        <v>46</v>
      </c>
      <c r="F22" s="1" t="n">
        <v>1.47</v>
      </c>
      <c r="G22" s="1" t="n">
        <v>0</v>
      </c>
      <c r="H22" s="1" t="n">
        <f aca="false">-((G22*100/F22)-100)</f>
        <v>100</v>
      </c>
      <c r="I22" s="1" t="n">
        <v>0</v>
      </c>
      <c r="J22" s="1" t="n">
        <f aca="false">(F22-G22)*I22</f>
        <v>0</v>
      </c>
      <c r="K22" s="1" t="n">
        <f aca="false">G22*I22</f>
        <v>0</v>
      </c>
      <c r="M22" s="23" t="n">
        <v>1273</v>
      </c>
      <c r="N22" s="3" t="s">
        <v>4</v>
      </c>
      <c r="O22" s="23" t="n">
        <v>1273</v>
      </c>
      <c r="P22" s="0" t="s">
        <v>29</v>
      </c>
      <c r="R22" s="10" t="e">
        <f aca="false">(O22-L22)/G22</f>
        <v>#DIV/0!</v>
      </c>
    </row>
    <row r="23" customFormat="false" ht="15" hidden="false" customHeight="false" outlineLevel="0" collapsed="false">
      <c r="A23" s="1" t="n">
        <v>6164</v>
      </c>
      <c r="B23" s="0" t="s">
        <v>289</v>
      </c>
      <c r="C23" s="0" t="s">
        <v>62</v>
      </c>
      <c r="D23" s="1" t="s">
        <v>53</v>
      </c>
      <c r="E23" s="0" t="s">
        <v>68</v>
      </c>
      <c r="F23" s="1" t="n">
        <v>3.49</v>
      </c>
      <c r="G23" s="1" t="n">
        <v>3.49</v>
      </c>
      <c r="H23" s="1" t="n">
        <f aca="false">-((G23*100/F23)-100)</f>
        <v>-0</v>
      </c>
      <c r="I23" s="33" t="n">
        <v>582</v>
      </c>
      <c r="J23" s="1" t="n">
        <f aca="false">(F23-G23)*I23</f>
        <v>0</v>
      </c>
      <c r="K23" s="1" t="n">
        <f aca="false">G23*I23</f>
        <v>2031.18</v>
      </c>
      <c r="M23" s="23" t="n">
        <v>5645</v>
      </c>
      <c r="N23" s="1" t="s">
        <v>4</v>
      </c>
      <c r="O23" s="23" t="n">
        <v>5645</v>
      </c>
      <c r="P23" s="0" t="s">
        <v>29</v>
      </c>
      <c r="R23" s="10" t="n">
        <f aca="false">(O23-L23)/G23</f>
        <v>1617.47851002865</v>
      </c>
    </row>
    <row r="24" customFormat="false" ht="16.4" hidden="false" customHeight="false" outlineLevel="0" collapsed="false">
      <c r="A24" s="1" t="n">
        <v>6159</v>
      </c>
      <c r="B24" s="0" t="s">
        <v>282</v>
      </c>
      <c r="C24" s="0" t="s">
        <v>42</v>
      </c>
      <c r="D24" s="1" t="s">
        <v>37</v>
      </c>
      <c r="E24" s="0" t="s">
        <v>290</v>
      </c>
      <c r="F24" s="1" t="n">
        <v>2.11</v>
      </c>
      <c r="G24" s="1" t="n">
        <v>2.11</v>
      </c>
      <c r="H24" s="1" t="n">
        <f aca="false">-((G24*100/F24)-100)</f>
        <v>-0</v>
      </c>
      <c r="I24" s="33" t="n">
        <v>750</v>
      </c>
      <c r="J24" s="1" t="n">
        <f aca="false">(F24-G24)*I24</f>
        <v>0</v>
      </c>
      <c r="K24" s="1" t="n">
        <f aca="false">G24*I24</f>
        <v>1582.5</v>
      </c>
      <c r="M24" s="23" t="n">
        <v>4724.5</v>
      </c>
      <c r="N24" s="3" t="s">
        <v>4</v>
      </c>
      <c r="O24" s="23" t="n">
        <v>4724.5</v>
      </c>
      <c r="P24" s="0" t="s">
        <v>29</v>
      </c>
      <c r="R24" s="10" t="n">
        <f aca="false">(O24-L24)/G24</f>
        <v>2239.09952606635</v>
      </c>
    </row>
    <row r="25" customFormat="false" ht="16.4" hidden="false" customHeight="false" outlineLevel="0" collapsed="false">
      <c r="A25" s="1" t="n">
        <v>6159</v>
      </c>
      <c r="B25" s="0" t="s">
        <v>282</v>
      </c>
      <c r="C25" s="0" t="s">
        <v>55</v>
      </c>
      <c r="D25" s="1" t="s">
        <v>37</v>
      </c>
      <c r="E25" s="0" t="s">
        <v>290</v>
      </c>
      <c r="F25" s="1" t="n">
        <v>6.27</v>
      </c>
      <c r="G25" s="1" t="n">
        <v>6.27</v>
      </c>
      <c r="H25" s="1" t="n">
        <f aca="false">-((G25*100/F25)-100)</f>
        <v>-0</v>
      </c>
      <c r="I25" s="33" t="n">
        <v>750</v>
      </c>
      <c r="J25" s="1" t="n">
        <f aca="false">(F25-G25)*I25</f>
        <v>0</v>
      </c>
      <c r="K25" s="1" t="n">
        <f aca="false">G25*I25</f>
        <v>4702.5</v>
      </c>
      <c r="M25" s="23" t="n">
        <v>14072.5</v>
      </c>
      <c r="N25" s="3" t="s">
        <v>4</v>
      </c>
      <c r="O25" s="23" t="n">
        <v>14072.5</v>
      </c>
      <c r="P25" s="0" t="s">
        <v>29</v>
      </c>
      <c r="R25" s="10" t="n">
        <f aca="false">(O25-L25)/G25</f>
        <v>2244.41786283892</v>
      </c>
    </row>
    <row r="26" customFormat="false" ht="16.4" hidden="false" customHeight="false" outlineLevel="0" collapsed="false">
      <c r="A26" s="1" t="n">
        <v>6159</v>
      </c>
      <c r="B26" s="0" t="s">
        <v>282</v>
      </c>
      <c r="C26" s="0" t="s">
        <v>291</v>
      </c>
      <c r="D26" s="1" t="s">
        <v>37</v>
      </c>
      <c r="E26" s="0" t="s">
        <v>290</v>
      </c>
      <c r="F26" s="1" t="n">
        <v>0.585</v>
      </c>
      <c r="G26" s="1" t="n">
        <v>0.585</v>
      </c>
      <c r="H26" s="1" t="n">
        <f aca="false">-((G26*100/F26)-100)</f>
        <v>-0</v>
      </c>
      <c r="I26" s="33" t="n">
        <v>750</v>
      </c>
      <c r="J26" s="1" t="n">
        <f aca="false">(F26-G26)*I26</f>
        <v>0</v>
      </c>
      <c r="K26" s="1" t="n">
        <f aca="false">G26*I26</f>
        <v>438.75</v>
      </c>
      <c r="M26" s="23" t="n">
        <v>1312.5</v>
      </c>
      <c r="N26" s="3" t="s">
        <v>4</v>
      </c>
      <c r="O26" s="23" t="n">
        <v>1312.5</v>
      </c>
      <c r="P26" s="0" t="s">
        <v>29</v>
      </c>
      <c r="R26" s="10" t="n">
        <f aca="false">(O26-L26)/G26</f>
        <v>2243.58974358974</v>
      </c>
    </row>
    <row r="27" customFormat="false" ht="16.4" hidden="false" customHeight="false" outlineLevel="0" collapsed="false">
      <c r="A27" s="1" t="n">
        <v>6159</v>
      </c>
      <c r="B27" s="0" t="s">
        <v>282</v>
      </c>
      <c r="C27" s="0" t="s">
        <v>154</v>
      </c>
      <c r="D27" s="1" t="s">
        <v>53</v>
      </c>
      <c r="E27" s="0" t="s">
        <v>292</v>
      </c>
      <c r="F27" s="1" t="n">
        <v>1.73</v>
      </c>
      <c r="G27" s="1" t="n">
        <v>1.73</v>
      </c>
      <c r="H27" s="1" t="n">
        <f aca="false">-((G27*100/F27)-100)</f>
        <v>-0</v>
      </c>
      <c r="I27" s="33" t="n">
        <v>209</v>
      </c>
      <c r="J27" s="1" t="n">
        <f aca="false">(F27-G27)*I27</f>
        <v>0</v>
      </c>
      <c r="K27" s="1" t="n">
        <f aca="false">G27*I27</f>
        <v>361.57</v>
      </c>
      <c r="M27" s="23" t="n">
        <v>2516</v>
      </c>
      <c r="N27" s="3" t="s">
        <v>4</v>
      </c>
      <c r="O27" s="23" t="n">
        <v>2516</v>
      </c>
      <c r="P27" s="0" t="s">
        <v>29</v>
      </c>
      <c r="R27" s="10" t="n">
        <f aca="false">(O27-L27)/G27</f>
        <v>1454.33526011561</v>
      </c>
    </row>
    <row r="28" customFormat="false" ht="16.4" hidden="false" customHeight="false" outlineLevel="0" collapsed="false">
      <c r="A28" s="1" t="n">
        <v>6159</v>
      </c>
      <c r="B28" s="0" t="s">
        <v>282</v>
      </c>
      <c r="C28" s="0" t="s">
        <v>57</v>
      </c>
      <c r="D28" s="1" t="s">
        <v>53</v>
      </c>
      <c r="E28" s="0" t="s">
        <v>292</v>
      </c>
      <c r="F28" s="1" t="n">
        <v>1.34</v>
      </c>
      <c r="G28" s="1" t="n">
        <v>1.34</v>
      </c>
      <c r="H28" s="1" t="n">
        <f aca="false">-((G28*100/F28)-100)</f>
        <v>-0</v>
      </c>
      <c r="I28" s="33" t="n">
        <v>209</v>
      </c>
      <c r="J28" s="1" t="n">
        <f aca="false">(F28-G28)*I28</f>
        <v>0</v>
      </c>
      <c r="K28" s="1" t="n">
        <f aca="false">G28*I28</f>
        <v>280.06</v>
      </c>
      <c r="M28" s="23" t="n">
        <v>1949</v>
      </c>
      <c r="N28" s="3" t="s">
        <v>4</v>
      </c>
      <c r="O28" s="23" t="n">
        <v>1949</v>
      </c>
      <c r="P28" s="0" t="s">
        <v>29</v>
      </c>
      <c r="R28" s="10" t="n">
        <f aca="false">(O28-L28)/G28</f>
        <v>1454.4776119403</v>
      </c>
    </row>
    <row r="29" customFormat="false" ht="15" hidden="false" customHeight="false" outlineLevel="0" collapsed="false">
      <c r="A29" s="1" t="n">
        <v>6167</v>
      </c>
      <c r="B29" s="0" t="s">
        <v>293</v>
      </c>
      <c r="C29" s="0" t="s">
        <v>130</v>
      </c>
      <c r="D29" s="1" t="s">
        <v>53</v>
      </c>
      <c r="E29" s="0" t="s">
        <v>68</v>
      </c>
      <c r="F29" s="1" t="n">
        <v>4.51</v>
      </c>
      <c r="G29" s="1" t="n">
        <v>4.51</v>
      </c>
      <c r="H29" s="1" t="n">
        <f aca="false">-((G29*100/F29)-100)</f>
        <v>-0</v>
      </c>
      <c r="I29" s="33" t="n">
        <v>582</v>
      </c>
      <c r="J29" s="1" t="n">
        <f aca="false">(F29-G29)*I29</f>
        <v>0</v>
      </c>
      <c r="K29" s="1" t="n">
        <f aca="false">G29*I29</f>
        <v>2624.82</v>
      </c>
      <c r="M29" s="23" t="n">
        <v>7400</v>
      </c>
      <c r="N29" s="1" t="s">
        <v>4</v>
      </c>
      <c r="O29" s="23" t="n">
        <v>7400</v>
      </c>
      <c r="P29" s="0" t="s">
        <v>29</v>
      </c>
      <c r="R29" s="10" t="n">
        <f aca="false">(O29-L29)/G29</f>
        <v>1640.79822616408</v>
      </c>
    </row>
    <row r="30" customFormat="false" ht="16.4" hidden="false" customHeight="false" outlineLevel="0" collapsed="false">
      <c r="A30" s="1" t="n">
        <v>6167</v>
      </c>
      <c r="B30" s="0" t="s">
        <v>293</v>
      </c>
      <c r="C30" s="0" t="s">
        <v>212</v>
      </c>
      <c r="D30" s="1" t="s">
        <v>53</v>
      </c>
      <c r="E30" s="0" t="s">
        <v>85</v>
      </c>
      <c r="F30" s="1" t="n">
        <v>0.1</v>
      </c>
      <c r="G30" s="1" t="n">
        <v>0.1</v>
      </c>
      <c r="H30" s="1" t="n">
        <f aca="false">-((G30*100/F30)-100)</f>
        <v>-0</v>
      </c>
      <c r="I30" s="33" t="n">
        <v>582</v>
      </c>
      <c r="J30" s="1" t="n">
        <f aca="false">(F30-G30)*I30</f>
        <v>0</v>
      </c>
      <c r="K30" s="1" t="n">
        <f aca="false">G30*I30</f>
        <v>58.2</v>
      </c>
      <c r="M30" s="23" t="n">
        <v>100</v>
      </c>
      <c r="N30" s="3" t="s">
        <v>4</v>
      </c>
      <c r="O30" s="23" t="n">
        <v>100</v>
      </c>
      <c r="P30" s="0" t="s">
        <v>29</v>
      </c>
      <c r="R30" s="10" t="n">
        <f aca="false">(O30-L30)/G30</f>
        <v>1000</v>
      </c>
    </row>
    <row r="31" customFormat="false" ht="16.4" hidden="false" customHeight="false" outlineLevel="0" collapsed="false">
      <c r="A31" s="1" t="n">
        <v>6106</v>
      </c>
      <c r="B31" s="0" t="s">
        <v>294</v>
      </c>
      <c r="C31" s="0" t="s">
        <v>130</v>
      </c>
      <c r="D31" s="1" t="s">
        <v>24</v>
      </c>
      <c r="E31" s="0" t="s">
        <v>241</v>
      </c>
      <c r="F31" s="1" t="n">
        <v>3.36</v>
      </c>
      <c r="G31" s="1" t="n">
        <v>3.36</v>
      </c>
      <c r="H31" s="1" t="n">
        <f aca="false">-((G31*100/F31)-100)</f>
        <v>-0</v>
      </c>
      <c r="I31" s="33" t="n">
        <v>274</v>
      </c>
      <c r="J31" s="1" t="n">
        <f aca="false">(F31-G31)*I31</f>
        <v>0</v>
      </c>
      <c r="K31" s="1" t="n">
        <f aca="false">G31*I31</f>
        <v>920.64</v>
      </c>
      <c r="M31" s="23" t="n">
        <v>4155</v>
      </c>
      <c r="N31" s="3" t="s">
        <v>4</v>
      </c>
      <c r="O31" s="23" t="n">
        <v>4155</v>
      </c>
      <c r="P31" s="0" t="s">
        <v>29</v>
      </c>
      <c r="R31" s="10" t="n">
        <f aca="false">(O31-L31)/G31</f>
        <v>1236.60714285714</v>
      </c>
    </row>
    <row r="32" customFormat="false" ht="16.4" hidden="false" customHeight="false" outlineLevel="0" collapsed="false">
      <c r="A32" s="1" t="n">
        <v>6106</v>
      </c>
      <c r="B32" s="0" t="s">
        <v>294</v>
      </c>
      <c r="C32" s="0" t="s">
        <v>295</v>
      </c>
      <c r="D32" s="1"/>
      <c r="F32" s="1"/>
      <c r="G32" s="1"/>
      <c r="H32" s="1" t="e">
        <f aca="false">-((G32*100/F32)-100)</f>
        <v>#DIV/0!</v>
      </c>
      <c r="J32" s="1" t="n">
        <f aca="false">(F32-G32)*I32</f>
        <v>0</v>
      </c>
      <c r="K32" s="1" t="n">
        <f aca="false">G32*I32</f>
        <v>0</v>
      </c>
      <c r="L32" s="23" t="n">
        <v>192</v>
      </c>
      <c r="M32" s="23" t="n">
        <v>359</v>
      </c>
      <c r="N32" s="3" t="s">
        <v>4</v>
      </c>
      <c r="O32" s="23" t="n">
        <v>359</v>
      </c>
      <c r="P32" s="0" t="s">
        <v>29</v>
      </c>
      <c r="R32" s="10" t="e">
        <f aca="false">(O32-L32)/G32</f>
        <v>#DIV/0!</v>
      </c>
    </row>
    <row r="33" customFormat="false" ht="16.4" hidden="false" customHeight="false" outlineLevel="0" collapsed="false">
      <c r="A33" s="1" t="n">
        <v>6106</v>
      </c>
      <c r="B33" s="0" t="s">
        <v>294</v>
      </c>
      <c r="C33" s="0" t="s">
        <v>296</v>
      </c>
      <c r="D33" s="1" t="s">
        <v>24</v>
      </c>
      <c r="E33" s="0" t="s">
        <v>241</v>
      </c>
      <c r="F33" s="1" t="n">
        <v>0.86</v>
      </c>
      <c r="G33" s="1" t="n">
        <v>0.86</v>
      </c>
      <c r="H33" s="1" t="n">
        <f aca="false">-((G33*100/F33)-100)</f>
        <v>-0</v>
      </c>
      <c r="I33" s="33" t="n">
        <v>274</v>
      </c>
      <c r="J33" s="1" t="n">
        <f aca="false">(F33-G33)*I33</f>
        <v>0</v>
      </c>
      <c r="K33" s="1" t="n">
        <f aca="false">G33*I33</f>
        <v>235.64</v>
      </c>
      <c r="L33" s="23"/>
      <c r="M33" s="23" t="n">
        <v>784</v>
      </c>
      <c r="N33" s="3" t="s">
        <v>4</v>
      </c>
      <c r="O33" s="23" t="n">
        <v>784</v>
      </c>
      <c r="P33" s="0" t="s">
        <v>29</v>
      </c>
      <c r="R33" s="10"/>
    </row>
    <row r="34" customFormat="false" ht="16.4" hidden="false" customHeight="false" outlineLevel="0" collapsed="false">
      <c r="A34" s="1" t="n">
        <v>6151</v>
      </c>
      <c r="B34" s="0" t="s">
        <v>262</v>
      </c>
      <c r="C34" s="0" t="s">
        <v>51</v>
      </c>
      <c r="D34" s="1" t="s">
        <v>53</v>
      </c>
      <c r="E34" s="0" t="s">
        <v>297</v>
      </c>
      <c r="F34" s="1" t="n">
        <v>2.21</v>
      </c>
      <c r="G34" s="1" t="n">
        <v>1.87</v>
      </c>
      <c r="H34" s="1" t="n">
        <f aca="false">-((G34*100/F34)-100)</f>
        <v>15.3846153846154</v>
      </c>
      <c r="I34" s="33" t="n">
        <v>575</v>
      </c>
      <c r="J34" s="1" t="n">
        <f aca="false">(F34-G34)*I34</f>
        <v>195.5</v>
      </c>
      <c r="K34" s="1" t="n">
        <f aca="false">G34*I34</f>
        <v>1075.25</v>
      </c>
      <c r="M34" s="23" t="n">
        <v>3319</v>
      </c>
      <c r="N34" s="3" t="s">
        <v>4</v>
      </c>
      <c r="O34" s="23" t="n">
        <v>3319</v>
      </c>
      <c r="P34" s="0" t="s">
        <v>26</v>
      </c>
      <c r="R34" s="10" t="n">
        <f aca="false">(O34-L34)/G34</f>
        <v>1774.86631016043</v>
      </c>
    </row>
    <row r="35" customFormat="false" ht="16.4" hidden="false" customHeight="false" outlineLevel="0" collapsed="false">
      <c r="A35" s="1" t="n">
        <v>6157</v>
      </c>
      <c r="B35" s="0" t="s">
        <v>270</v>
      </c>
      <c r="C35" s="0" t="s">
        <v>298</v>
      </c>
      <c r="D35" s="1" t="s">
        <v>24</v>
      </c>
      <c r="E35" s="0" t="s">
        <v>28</v>
      </c>
      <c r="F35" s="1" t="n">
        <v>2.58</v>
      </c>
      <c r="G35" s="1" t="n">
        <v>2.58</v>
      </c>
      <c r="H35" s="1" t="n">
        <f aca="false">-((G35*100/F35)-100)</f>
        <v>-0</v>
      </c>
      <c r="I35" s="33" t="n">
        <v>199</v>
      </c>
      <c r="J35" s="1" t="n">
        <f aca="false">(F35-G35)*I35</f>
        <v>0</v>
      </c>
      <c r="K35" s="1" t="n">
        <f aca="false">G35*I35</f>
        <v>513.42</v>
      </c>
      <c r="M35" s="23" t="n">
        <v>1646</v>
      </c>
      <c r="N35" s="3" t="s">
        <v>4</v>
      </c>
      <c r="O35" s="23" t="n">
        <v>1646</v>
      </c>
      <c r="P35" s="0" t="s">
        <v>26</v>
      </c>
      <c r="R35" s="10" t="n">
        <f aca="false">(O35-L35)/G35</f>
        <v>637.984496124031</v>
      </c>
    </row>
    <row r="36" customFormat="false" ht="16.4" hidden="false" customHeight="false" outlineLevel="0" collapsed="false">
      <c r="A36" s="1" t="n">
        <v>6157</v>
      </c>
      <c r="B36" s="0" t="s">
        <v>270</v>
      </c>
      <c r="C36" s="0" t="s">
        <v>299</v>
      </c>
      <c r="D36" s="1" t="s">
        <v>24</v>
      </c>
      <c r="E36" s="0" t="s">
        <v>300</v>
      </c>
      <c r="F36" s="1" t="n">
        <v>6.19</v>
      </c>
      <c r="G36" s="1" t="n">
        <v>6.19</v>
      </c>
      <c r="H36" s="1" t="n">
        <f aca="false">-((G36*100/F36)-100)</f>
        <v>-0</v>
      </c>
      <c r="I36" s="33" t="n">
        <v>160</v>
      </c>
      <c r="J36" s="1" t="n">
        <f aca="false">(F36-G36)*I36</f>
        <v>0</v>
      </c>
      <c r="K36" s="1" t="n">
        <f aca="false">G36*I36</f>
        <v>990.4</v>
      </c>
      <c r="M36" s="23" t="n">
        <v>3923</v>
      </c>
      <c r="N36" s="3" t="s">
        <v>4</v>
      </c>
      <c r="O36" s="23" t="n">
        <v>3923</v>
      </c>
      <c r="P36" s="0" t="s">
        <v>26</v>
      </c>
      <c r="R36" s="10" t="n">
        <f aca="false">(O36-L36)/G36</f>
        <v>633.764135702746</v>
      </c>
    </row>
    <row r="37" customFormat="false" ht="16.4" hidden="false" customHeight="false" outlineLevel="0" collapsed="false">
      <c r="A37" s="1" t="n">
        <v>6149</v>
      </c>
      <c r="B37" s="0" t="s">
        <v>301</v>
      </c>
      <c r="C37" s="0" t="s">
        <v>55</v>
      </c>
      <c r="D37" s="1" t="s">
        <v>24</v>
      </c>
      <c r="E37" s="0" t="s">
        <v>257</v>
      </c>
      <c r="F37" s="1" t="n">
        <v>3.67</v>
      </c>
      <c r="G37" s="1" t="n">
        <v>3.67</v>
      </c>
      <c r="H37" s="1" t="n">
        <f aca="false">-((G37*100/F37)-100)</f>
        <v>-0</v>
      </c>
      <c r="I37" s="33" t="n">
        <v>120</v>
      </c>
      <c r="J37" s="1" t="n">
        <f aca="false">(F37-G37)*I37</f>
        <v>0</v>
      </c>
      <c r="K37" s="1" t="n">
        <f aca="false">G37*I37</f>
        <v>440.4</v>
      </c>
      <c r="M37" s="23" t="n">
        <v>3801</v>
      </c>
      <c r="N37" s="3" t="s">
        <v>4</v>
      </c>
      <c r="O37" s="23" t="n">
        <v>3801</v>
      </c>
      <c r="P37" s="0" t="s">
        <v>26</v>
      </c>
      <c r="R37" s="10" t="n">
        <f aca="false">(O37-L37)/G37</f>
        <v>1035.69482288828</v>
      </c>
    </row>
    <row r="38" customFormat="false" ht="16.4" hidden="false" customHeight="false" outlineLevel="0" collapsed="false">
      <c r="A38" s="1" t="n">
        <v>6160</v>
      </c>
      <c r="B38" s="0" t="s">
        <v>302</v>
      </c>
      <c r="C38" s="0" t="s">
        <v>303</v>
      </c>
      <c r="D38" s="1" t="s">
        <v>37</v>
      </c>
      <c r="E38" s="0" t="s">
        <v>304</v>
      </c>
      <c r="F38" s="1" t="n">
        <v>1.33</v>
      </c>
      <c r="G38" s="1" t="n">
        <v>1.33</v>
      </c>
      <c r="H38" s="1" t="n">
        <f aca="false">-((G38*100/F38)-100)</f>
        <v>-0</v>
      </c>
      <c r="I38" s="33" t="n">
        <v>515</v>
      </c>
      <c r="J38" s="1" t="n">
        <f aca="false">(F38-G38)*I38</f>
        <v>0</v>
      </c>
      <c r="K38" s="1" t="n">
        <f aca="false">G38*I38</f>
        <v>684.95</v>
      </c>
      <c r="M38" s="23" t="n">
        <v>2006</v>
      </c>
      <c r="N38" s="3" t="s">
        <v>4</v>
      </c>
      <c r="O38" s="23" t="n">
        <v>2006</v>
      </c>
      <c r="P38" s="0" t="s">
        <v>26</v>
      </c>
      <c r="R38" s="10" t="n">
        <f aca="false">(O38-L38)/G38</f>
        <v>1508.27067669173</v>
      </c>
    </row>
    <row r="39" customFormat="false" ht="16.4" hidden="false" customHeight="false" outlineLevel="0" collapsed="false">
      <c r="A39" s="1" t="n">
        <v>6160</v>
      </c>
      <c r="B39" s="0" t="s">
        <v>302</v>
      </c>
      <c r="C39" s="0" t="s">
        <v>305</v>
      </c>
      <c r="D39" s="1" t="s">
        <v>37</v>
      </c>
      <c r="E39" s="0" t="s">
        <v>304</v>
      </c>
      <c r="F39" s="1" t="n">
        <v>1.47</v>
      </c>
      <c r="G39" s="1" t="n">
        <v>1.47</v>
      </c>
      <c r="H39" s="1" t="n">
        <f aca="false">-((G39*100/F39)-100)</f>
        <v>-0</v>
      </c>
      <c r="I39" s="33" t="n">
        <v>515</v>
      </c>
      <c r="J39" s="1" t="n">
        <f aca="false">(F39-G39)*I39</f>
        <v>0</v>
      </c>
      <c r="K39" s="1" t="n">
        <f aca="false">G39*I39</f>
        <v>757.05</v>
      </c>
      <c r="M39" s="23" t="n">
        <v>2218</v>
      </c>
      <c r="N39" s="3" t="s">
        <v>4</v>
      </c>
      <c r="O39" s="23" t="n">
        <v>2218</v>
      </c>
      <c r="P39" s="0" t="s">
        <v>26</v>
      </c>
      <c r="R39" s="10" t="n">
        <f aca="false">(O39-L39)/G39</f>
        <v>1508.84353741497</v>
      </c>
    </row>
    <row r="40" customFormat="false" ht="16.4" hidden="false" customHeight="false" outlineLevel="0" collapsed="false">
      <c r="A40" s="1" t="n">
        <v>6161</v>
      </c>
      <c r="B40" s="0" t="s">
        <v>306</v>
      </c>
      <c r="C40" s="0" t="s">
        <v>55</v>
      </c>
      <c r="D40" s="1" t="s">
        <v>53</v>
      </c>
      <c r="E40" s="0" t="s">
        <v>68</v>
      </c>
      <c r="F40" s="1" t="n">
        <v>4.75</v>
      </c>
      <c r="G40" s="1" t="n">
        <v>4.75</v>
      </c>
      <c r="H40" s="1" t="n">
        <f aca="false">-((G40*100/F40)-100)</f>
        <v>-0</v>
      </c>
      <c r="I40" s="33" t="n">
        <v>582</v>
      </c>
      <c r="J40" s="1" t="n">
        <f aca="false">(F40-G40)*I40</f>
        <v>0</v>
      </c>
      <c r="K40" s="1" t="n">
        <f aca="false">G40*I40</f>
        <v>2764.5</v>
      </c>
      <c r="M40" s="23" t="n">
        <v>7039</v>
      </c>
      <c r="N40" s="3" t="s">
        <v>4</v>
      </c>
      <c r="O40" s="23" t="n">
        <v>7039</v>
      </c>
      <c r="P40" s="0" t="s">
        <v>26</v>
      </c>
      <c r="R40" s="10" t="n">
        <f aca="false">(O40-L40)/G40</f>
        <v>1481.89473684211</v>
      </c>
    </row>
    <row r="41" customFormat="false" ht="16.4" hidden="false" customHeight="false" outlineLevel="0" collapsed="false">
      <c r="A41" s="1" t="n">
        <v>6100</v>
      </c>
      <c r="B41" s="0" t="s">
        <v>222</v>
      </c>
      <c r="C41" s="0" t="s">
        <v>307</v>
      </c>
      <c r="D41" s="1" t="s">
        <v>53</v>
      </c>
      <c r="E41" s="0" t="s">
        <v>68</v>
      </c>
      <c r="F41" s="1" t="n">
        <v>1.15</v>
      </c>
      <c r="G41" s="1" t="n">
        <v>1.15</v>
      </c>
      <c r="H41" s="1" t="n">
        <f aca="false">-((G41*100/F41)-100)</f>
        <v>-0</v>
      </c>
      <c r="I41" s="33" t="n">
        <v>582</v>
      </c>
      <c r="J41" s="1" t="n">
        <f aca="false">(F41-G41)*I41</f>
        <v>0</v>
      </c>
      <c r="K41" s="1" t="n">
        <f aca="false">G41*I41</f>
        <v>669.3</v>
      </c>
      <c r="M41" s="23" t="n">
        <v>1847</v>
      </c>
      <c r="N41" s="3" t="s">
        <v>4</v>
      </c>
      <c r="O41" s="23" t="n">
        <v>1847</v>
      </c>
      <c r="P41" s="0" t="s">
        <v>26</v>
      </c>
      <c r="R41" s="10" t="n">
        <f aca="false">(O41-L41)/G41</f>
        <v>1606.08695652174</v>
      </c>
    </row>
    <row r="42" customFormat="false" ht="15" hidden="false" customHeight="false" outlineLevel="0" collapsed="false">
      <c r="A42" s="1" t="n">
        <v>6100</v>
      </c>
      <c r="B42" s="0" t="s">
        <v>222</v>
      </c>
      <c r="C42" s="0" t="s">
        <v>308</v>
      </c>
      <c r="D42" s="1" t="s">
        <v>53</v>
      </c>
      <c r="E42" s="0" t="s">
        <v>68</v>
      </c>
      <c r="F42" s="1" t="n">
        <v>0.86</v>
      </c>
      <c r="G42" s="1" t="n">
        <v>0.86</v>
      </c>
      <c r="H42" s="1" t="n">
        <f aca="false">-((G42*100/F42)-100)</f>
        <v>-0</v>
      </c>
      <c r="I42" s="33" t="n">
        <v>582</v>
      </c>
      <c r="J42" s="1" t="n">
        <f aca="false">(F42-G42)*I42</f>
        <v>0</v>
      </c>
      <c r="K42" s="1" t="n">
        <f aca="false">G42*I42</f>
        <v>500.52</v>
      </c>
      <c r="M42" s="23" t="n">
        <v>1382</v>
      </c>
      <c r="N42" s="1" t="s">
        <v>4</v>
      </c>
      <c r="O42" s="23" t="n">
        <v>1382</v>
      </c>
      <c r="P42" s="0" t="s">
        <v>26</v>
      </c>
      <c r="R42" s="10" t="n">
        <f aca="false">(O42-L42)/G42</f>
        <v>1606.97674418605</v>
      </c>
    </row>
    <row r="43" customFormat="false" ht="16.4" hidden="false" customHeight="false" outlineLevel="0" collapsed="false">
      <c r="A43" s="1" t="n">
        <v>6142</v>
      </c>
      <c r="B43" s="0" t="s">
        <v>159</v>
      </c>
      <c r="C43" s="0" t="s">
        <v>51</v>
      </c>
      <c r="D43" s="1" t="s">
        <v>37</v>
      </c>
      <c r="E43" s="0" t="s">
        <v>286</v>
      </c>
      <c r="F43" s="1" t="n">
        <v>5.29</v>
      </c>
      <c r="G43" s="24" t="n">
        <v>5.29</v>
      </c>
      <c r="H43" s="1" t="n">
        <f aca="false">-((G43*100/F43)-100)</f>
        <v>-0</v>
      </c>
      <c r="I43" s="33" t="n">
        <v>1234</v>
      </c>
      <c r="J43" s="1" t="n">
        <f aca="false">(F43-G43)*I43</f>
        <v>0</v>
      </c>
      <c r="K43" s="1" t="n">
        <f aca="false">G43*I43</f>
        <v>6527.86</v>
      </c>
      <c r="M43" s="23" t="n">
        <v>17363</v>
      </c>
      <c r="N43" s="3" t="s">
        <v>4</v>
      </c>
      <c r="O43" s="23" t="n">
        <v>17363</v>
      </c>
      <c r="P43" s="0" t="s">
        <v>26</v>
      </c>
      <c r="R43" s="10" t="n">
        <f aca="false">(O43-L43)/G43</f>
        <v>3282.23062381853</v>
      </c>
    </row>
    <row r="44" customFormat="false" ht="16.4" hidden="false" customHeight="false" outlineLevel="0" collapsed="false">
      <c r="A44" s="1" t="n">
        <v>6163</v>
      </c>
      <c r="B44" s="0" t="s">
        <v>309</v>
      </c>
      <c r="C44" s="0" t="s">
        <v>310</v>
      </c>
      <c r="D44" s="1" t="s">
        <v>24</v>
      </c>
      <c r="E44" s="0" t="s">
        <v>28</v>
      </c>
      <c r="F44" s="1" t="n">
        <v>0.17</v>
      </c>
      <c r="G44" s="1" t="n">
        <v>0.17</v>
      </c>
      <c r="H44" s="1" t="n">
        <f aca="false">-((G44*100/F44)-100)</f>
        <v>-0</v>
      </c>
      <c r="I44" s="33" t="n">
        <v>199</v>
      </c>
      <c r="J44" s="1" t="n">
        <f aca="false">(F44-G44)*I44</f>
        <v>0</v>
      </c>
      <c r="K44" s="1" t="n">
        <f aca="false">G44*I44</f>
        <v>33.83</v>
      </c>
      <c r="M44" s="23" t="n">
        <v>355</v>
      </c>
      <c r="N44" s="3" t="s">
        <v>4</v>
      </c>
      <c r="O44" s="23" t="n">
        <v>355</v>
      </c>
      <c r="P44" s="0" t="s">
        <v>26</v>
      </c>
      <c r="R44" s="10" t="n">
        <f aca="false">(O44-L44)/G44</f>
        <v>2088.23529411765</v>
      </c>
    </row>
    <row r="45" customFormat="false" ht="16.4" hidden="false" customHeight="false" outlineLevel="0" collapsed="false">
      <c r="A45" s="1" t="n">
        <v>6163</v>
      </c>
      <c r="B45" s="0" t="s">
        <v>309</v>
      </c>
      <c r="C45" s="0" t="s">
        <v>51</v>
      </c>
      <c r="D45" s="1" t="s">
        <v>24</v>
      </c>
      <c r="E45" s="0" t="s">
        <v>28</v>
      </c>
      <c r="F45" s="1" t="n">
        <v>0.4</v>
      </c>
      <c r="G45" s="1" t="n">
        <v>0.4</v>
      </c>
      <c r="H45" s="1" t="n">
        <f aca="false">-((G45*100/F45)-100)</f>
        <v>-0</v>
      </c>
      <c r="I45" s="33" t="n">
        <v>199</v>
      </c>
      <c r="J45" s="1" t="n">
        <f aca="false">(F45-G45)*I45</f>
        <v>0</v>
      </c>
      <c r="K45" s="1" t="n">
        <f aca="false">G45*I45</f>
        <v>79.6</v>
      </c>
      <c r="M45" s="23" t="n">
        <v>595</v>
      </c>
      <c r="N45" s="3" t="s">
        <v>4</v>
      </c>
      <c r="O45" s="23" t="n">
        <v>595</v>
      </c>
      <c r="P45" s="0" t="s">
        <v>26</v>
      </c>
      <c r="R45" s="10" t="n">
        <f aca="false">(O45-L45)/G45</f>
        <v>1487.5</v>
      </c>
    </row>
    <row r="46" customFormat="false" ht="16.4" hidden="false" customHeight="false" outlineLevel="0" collapsed="false">
      <c r="A46" s="1" t="n">
        <v>6163</v>
      </c>
      <c r="B46" s="0" t="s">
        <v>309</v>
      </c>
      <c r="C46" s="0" t="s">
        <v>97</v>
      </c>
      <c r="D46" s="1" t="s">
        <v>24</v>
      </c>
      <c r="E46" s="0" t="s">
        <v>28</v>
      </c>
      <c r="F46" s="1" t="n">
        <v>0.4</v>
      </c>
      <c r="G46" s="1" t="n">
        <v>0.4</v>
      </c>
      <c r="H46" s="1" t="n">
        <f aca="false">-((G46*100/F46)-100)</f>
        <v>-0</v>
      </c>
      <c r="I46" s="33" t="n">
        <v>199</v>
      </c>
      <c r="J46" s="1" t="n">
        <f aca="false">(F46-G46)*I46</f>
        <v>0</v>
      </c>
      <c r="K46" s="1" t="n">
        <f aca="false">G46*I46</f>
        <v>79.6</v>
      </c>
      <c r="M46" s="23" t="n">
        <v>534</v>
      </c>
      <c r="N46" s="3" t="s">
        <v>4</v>
      </c>
      <c r="O46" s="23" t="n">
        <v>534</v>
      </c>
      <c r="P46" s="0" t="s">
        <v>26</v>
      </c>
      <c r="R46" s="10" t="n">
        <f aca="false">(O46-L46)/G46</f>
        <v>1335</v>
      </c>
    </row>
    <row r="47" customFormat="false" ht="15" hidden="false" customHeight="false" outlineLevel="0" collapsed="false">
      <c r="A47" s="1" t="n">
        <v>6163</v>
      </c>
      <c r="B47" s="0" t="s">
        <v>309</v>
      </c>
      <c r="C47" s="0" t="s">
        <v>98</v>
      </c>
      <c r="D47" s="1" t="s">
        <v>24</v>
      </c>
      <c r="E47" s="0" t="s">
        <v>28</v>
      </c>
      <c r="F47" s="1" t="n">
        <v>0.72</v>
      </c>
      <c r="G47" s="1" t="n">
        <v>0.72</v>
      </c>
      <c r="H47" s="1" t="n">
        <f aca="false">-((G47*100/F47)-100)</f>
        <v>-0</v>
      </c>
      <c r="I47" s="33" t="n">
        <v>199</v>
      </c>
      <c r="J47" s="1" t="n">
        <f aca="false">(F47-G47)*I47</f>
        <v>0</v>
      </c>
      <c r="K47" s="1" t="n">
        <f aca="false">G47*I47</f>
        <v>143.28</v>
      </c>
      <c r="M47" s="23" t="n">
        <v>944</v>
      </c>
      <c r="N47" s="1" t="s">
        <v>4</v>
      </c>
      <c r="O47" s="23" t="n">
        <v>944</v>
      </c>
      <c r="P47" s="0" t="s">
        <v>26</v>
      </c>
      <c r="R47" s="10" t="n">
        <f aca="false">(O47-L47)/G47</f>
        <v>1311.11111111111</v>
      </c>
    </row>
    <row r="48" customFormat="false" ht="16.4" hidden="false" customHeight="false" outlineLevel="0" collapsed="false">
      <c r="A48" s="1" t="n">
        <v>6164</v>
      </c>
      <c r="B48" s="0" t="s">
        <v>289</v>
      </c>
      <c r="C48" s="0" t="s">
        <v>311</v>
      </c>
      <c r="D48" s="1" t="s">
        <v>53</v>
      </c>
      <c r="E48" s="0" t="s">
        <v>68</v>
      </c>
      <c r="F48" s="1" t="n">
        <v>3.4</v>
      </c>
      <c r="G48" s="1" t="n">
        <v>3.4</v>
      </c>
      <c r="H48" s="1" t="n">
        <f aca="false">-((G48*100/F48)-100)</f>
        <v>-0</v>
      </c>
      <c r="I48" s="33" t="n">
        <v>582</v>
      </c>
      <c r="J48" s="1" t="n">
        <f aca="false">(F48-G48)*I48</f>
        <v>0</v>
      </c>
      <c r="K48" s="1" t="n">
        <f aca="false">G48*I48</f>
        <v>1978.8</v>
      </c>
      <c r="M48" s="23" t="n">
        <v>5500</v>
      </c>
      <c r="N48" s="3" t="s">
        <v>4</v>
      </c>
      <c r="O48" s="23" t="n">
        <v>5500</v>
      </c>
      <c r="P48" s="0" t="s">
        <v>26</v>
      </c>
      <c r="R48" s="10" t="n">
        <f aca="false">(O48-L48)/G48</f>
        <v>1617.64705882353</v>
      </c>
    </row>
    <row r="49" customFormat="false" ht="16.4" hidden="false" customHeight="false" outlineLevel="0" collapsed="false">
      <c r="A49" s="1" t="n">
        <v>6164</v>
      </c>
      <c r="B49" s="0" t="s">
        <v>289</v>
      </c>
      <c r="C49" s="0" t="s">
        <v>312</v>
      </c>
      <c r="D49" s="1" t="s">
        <v>53</v>
      </c>
      <c r="E49" s="0" t="s">
        <v>68</v>
      </c>
      <c r="F49" s="1" t="n">
        <v>1.08</v>
      </c>
      <c r="G49" s="1" t="n">
        <v>1.08</v>
      </c>
      <c r="H49" s="1" t="n">
        <f aca="false">-((G49*100/F49)-100)</f>
        <v>-0</v>
      </c>
      <c r="I49" s="33" t="n">
        <v>582</v>
      </c>
      <c r="J49" s="1" t="n">
        <f aca="false">(F49-G49)*I49</f>
        <v>0</v>
      </c>
      <c r="K49" s="1" t="n">
        <f aca="false">G49*I49</f>
        <v>628.56</v>
      </c>
      <c r="M49" s="23" t="n">
        <v>1747</v>
      </c>
      <c r="N49" s="3" t="s">
        <v>4</v>
      </c>
      <c r="O49" s="23" t="n">
        <v>1747</v>
      </c>
      <c r="P49" s="0" t="s">
        <v>26</v>
      </c>
      <c r="R49" s="10" t="n">
        <f aca="false">(O49-L49)/G49</f>
        <v>1617.59259259259</v>
      </c>
    </row>
    <row r="50" customFormat="false" ht="16.4" hidden="false" customHeight="false" outlineLevel="0" collapsed="false">
      <c r="A50" s="1" t="n">
        <v>6164</v>
      </c>
      <c r="B50" s="0" t="s">
        <v>289</v>
      </c>
      <c r="C50" s="0" t="s">
        <v>313</v>
      </c>
      <c r="D50" s="1" t="s">
        <v>53</v>
      </c>
      <c r="E50" s="0" t="s">
        <v>68</v>
      </c>
      <c r="F50" s="1" t="n">
        <v>3.06</v>
      </c>
      <c r="G50" s="1" t="n">
        <v>3.06</v>
      </c>
      <c r="H50" s="1" t="n">
        <f aca="false">-((G50*100/F50)-100)</f>
        <v>-0</v>
      </c>
      <c r="I50" s="33" t="n">
        <v>582</v>
      </c>
      <c r="J50" s="1" t="n">
        <f aca="false">(F50-G50)*I50</f>
        <v>0</v>
      </c>
      <c r="K50" s="1" t="n">
        <f aca="false">G50*I50</f>
        <v>1780.92</v>
      </c>
      <c r="M50" s="23" t="n">
        <v>4950</v>
      </c>
      <c r="N50" s="3" t="s">
        <v>4</v>
      </c>
      <c r="O50" s="23" t="n">
        <v>4950</v>
      </c>
      <c r="P50" s="0" t="s">
        <v>26</v>
      </c>
      <c r="R50" s="10" t="n">
        <f aca="false">(O50-L50)/G50</f>
        <v>1617.64705882353</v>
      </c>
    </row>
    <row r="51" customFormat="false" ht="16.4" hidden="false" customHeight="false" outlineLevel="0" collapsed="false">
      <c r="A51" s="1" t="n">
        <v>6159</v>
      </c>
      <c r="B51" s="0" t="s">
        <v>282</v>
      </c>
      <c r="C51" s="0" t="s">
        <v>42</v>
      </c>
      <c r="D51" s="1" t="s">
        <v>37</v>
      </c>
      <c r="E51" s="0" t="s">
        <v>290</v>
      </c>
      <c r="F51" s="1" t="n">
        <v>2.1</v>
      </c>
      <c r="G51" s="1" t="n">
        <v>2.1</v>
      </c>
      <c r="H51" s="1" t="n">
        <f aca="false">-((G51*100/F51)-100)</f>
        <v>-0</v>
      </c>
      <c r="I51" s="33" t="n">
        <v>750</v>
      </c>
      <c r="J51" s="1" t="n">
        <f aca="false">(F51-G51)*I51</f>
        <v>0</v>
      </c>
      <c r="K51" s="1" t="n">
        <f aca="false">G51*I51</f>
        <v>1575</v>
      </c>
      <c r="M51" s="23" t="n">
        <v>4724.5</v>
      </c>
      <c r="N51" s="3" t="s">
        <v>4</v>
      </c>
      <c r="O51" s="23" t="n">
        <v>4724.5</v>
      </c>
      <c r="P51" s="0" t="s">
        <v>26</v>
      </c>
      <c r="R51" s="10" t="n">
        <f aca="false">(O51-L51)/G51</f>
        <v>2249.7619047619</v>
      </c>
    </row>
    <row r="52" customFormat="false" ht="16.4" hidden="false" customHeight="false" outlineLevel="0" collapsed="false">
      <c r="A52" s="1" t="n">
        <v>6159</v>
      </c>
      <c r="B52" s="0" t="s">
        <v>282</v>
      </c>
      <c r="C52" s="0" t="s">
        <v>55</v>
      </c>
      <c r="D52" s="1" t="s">
        <v>37</v>
      </c>
      <c r="E52" s="0" t="s">
        <v>290</v>
      </c>
      <c r="F52" s="1" t="n">
        <v>6.27</v>
      </c>
      <c r="G52" s="1" t="n">
        <v>6.27</v>
      </c>
      <c r="H52" s="1" t="n">
        <f aca="false">-((G52*100/F52)-100)</f>
        <v>-0</v>
      </c>
      <c r="I52" s="33" t="n">
        <v>750</v>
      </c>
      <c r="J52" s="1" t="n">
        <f aca="false">(F52-G52)*I52</f>
        <v>0</v>
      </c>
      <c r="K52" s="1" t="n">
        <f aca="false">G52*I52</f>
        <v>4702.5</v>
      </c>
      <c r="M52" s="23" t="n">
        <v>14072.5</v>
      </c>
      <c r="N52" s="3" t="s">
        <v>4</v>
      </c>
      <c r="O52" s="23" t="n">
        <v>14072.5</v>
      </c>
      <c r="P52" s="0" t="s">
        <v>26</v>
      </c>
      <c r="R52" s="10" t="n">
        <f aca="false">(O52-L52)/G52</f>
        <v>2244.41786283892</v>
      </c>
    </row>
    <row r="53" customFormat="false" ht="16.4" hidden="false" customHeight="false" outlineLevel="0" collapsed="false">
      <c r="A53" s="1" t="n">
        <v>6159</v>
      </c>
      <c r="B53" s="0" t="s">
        <v>282</v>
      </c>
      <c r="C53" s="0" t="s">
        <v>291</v>
      </c>
      <c r="D53" s="1" t="s">
        <v>37</v>
      </c>
      <c r="E53" s="0" t="s">
        <v>290</v>
      </c>
      <c r="F53" s="1" t="n">
        <v>0.585</v>
      </c>
      <c r="G53" s="1" t="n">
        <v>0.585</v>
      </c>
      <c r="H53" s="1" t="n">
        <f aca="false">-((G53*100/F53)-100)</f>
        <v>-0</v>
      </c>
      <c r="I53" s="33" t="n">
        <v>750</v>
      </c>
      <c r="J53" s="1" t="n">
        <f aca="false">(F53-G53)*I53</f>
        <v>0</v>
      </c>
      <c r="K53" s="1" t="n">
        <f aca="false">G53*I53</f>
        <v>438.75</v>
      </c>
      <c r="M53" s="23" t="n">
        <v>1312.5</v>
      </c>
      <c r="N53" s="3" t="s">
        <v>4</v>
      </c>
      <c r="O53" s="23" t="n">
        <v>1312.5</v>
      </c>
      <c r="P53" s="0" t="s">
        <v>26</v>
      </c>
      <c r="R53" s="10" t="n">
        <f aca="false">(O53-L53)/G53</f>
        <v>2243.58974358974</v>
      </c>
    </row>
    <row r="54" customFormat="false" ht="15" hidden="false" customHeight="false" outlineLevel="0" collapsed="false">
      <c r="A54" s="1" t="n">
        <v>6123</v>
      </c>
      <c r="B54" s="0" t="s">
        <v>177</v>
      </c>
      <c r="C54" s="0" t="s">
        <v>168</v>
      </c>
      <c r="D54" s="1" t="s">
        <v>37</v>
      </c>
      <c r="E54" s="0" t="s">
        <v>38</v>
      </c>
      <c r="F54" s="1" t="n">
        <v>0.83</v>
      </c>
      <c r="G54" s="1" t="n">
        <v>0.83</v>
      </c>
      <c r="H54" s="1" t="n">
        <f aca="false">-((G54*100/F54)-100)</f>
        <v>-0</v>
      </c>
      <c r="I54" s="33" t="n">
        <v>450</v>
      </c>
      <c r="J54" s="1" t="n">
        <f aca="false">(F54-G54)*I54</f>
        <v>0</v>
      </c>
      <c r="K54" s="1" t="n">
        <f aca="false">G54*I54</f>
        <v>373.5</v>
      </c>
      <c r="M54" s="23" t="n">
        <v>1361</v>
      </c>
      <c r="N54" s="1" t="s">
        <v>4</v>
      </c>
      <c r="O54" s="23" t="n">
        <v>1361</v>
      </c>
      <c r="P54" s="0" t="s">
        <v>26</v>
      </c>
      <c r="R54" s="10" t="n">
        <f aca="false">(O54-L54)/G54</f>
        <v>1639.75903614458</v>
      </c>
    </row>
    <row r="55" customFormat="false" ht="16.4" hidden="false" customHeight="false" outlineLevel="0" collapsed="false">
      <c r="A55" s="1" t="n">
        <v>6123</v>
      </c>
      <c r="B55" s="0" t="s">
        <v>177</v>
      </c>
      <c r="C55" s="0" t="s">
        <v>56</v>
      </c>
      <c r="D55" s="1" t="s">
        <v>37</v>
      </c>
      <c r="E55" s="0" t="s">
        <v>38</v>
      </c>
      <c r="F55" s="1" t="n">
        <v>1.34</v>
      </c>
      <c r="G55" s="1" t="n">
        <v>1.34</v>
      </c>
      <c r="H55" s="1" t="n">
        <f aca="false">-((G55*100/F55)-100)</f>
        <v>-0</v>
      </c>
      <c r="I55" s="33" t="n">
        <v>450</v>
      </c>
      <c r="J55" s="1" t="n">
        <f aca="false">(F55-G55)*I55</f>
        <v>0</v>
      </c>
      <c r="K55" s="1" t="n">
        <f aca="false">G55*I55</f>
        <v>603</v>
      </c>
      <c r="M55" s="23" t="n">
        <v>2197</v>
      </c>
      <c r="N55" s="3" t="s">
        <v>4</v>
      </c>
      <c r="O55" s="23" t="n">
        <v>2197</v>
      </c>
      <c r="P55" s="0" t="s">
        <v>26</v>
      </c>
      <c r="R55" s="10" t="n">
        <f aca="false">(O55-L55)/G55</f>
        <v>1639.55223880597</v>
      </c>
    </row>
    <row r="56" customFormat="false" ht="16.4" hidden="false" customHeight="false" outlineLevel="0" collapsed="false">
      <c r="A56" s="1" t="n">
        <v>6169</v>
      </c>
      <c r="B56" s="0" t="s">
        <v>314</v>
      </c>
      <c r="C56" s="0" t="s">
        <v>67</v>
      </c>
      <c r="D56" s="1" t="s">
        <v>53</v>
      </c>
      <c r="E56" s="0" t="s">
        <v>68</v>
      </c>
      <c r="F56" s="1" t="n">
        <v>2.16</v>
      </c>
      <c r="G56" s="1" t="n">
        <v>2.16</v>
      </c>
      <c r="H56" s="1" t="n">
        <f aca="false">-((G56*100/F56)-100)</f>
        <v>-0</v>
      </c>
      <c r="I56" s="33" t="n">
        <v>582</v>
      </c>
      <c r="J56" s="1" t="n">
        <f aca="false">(F56-G56)*I56</f>
        <v>0</v>
      </c>
      <c r="K56" s="1" t="n">
        <f aca="false">G56*I56</f>
        <v>1257.12</v>
      </c>
      <c r="M56" s="23" t="n">
        <v>3405</v>
      </c>
      <c r="N56" s="3" t="s">
        <v>4</v>
      </c>
      <c r="O56" s="23" t="n">
        <v>3405</v>
      </c>
      <c r="P56" s="0" t="s">
        <v>26</v>
      </c>
      <c r="R56" s="10" t="n">
        <f aca="false">(O56-L56)/G56</f>
        <v>1576.38888888889</v>
      </c>
    </row>
    <row r="57" customFormat="false" ht="16.4" hidden="false" customHeight="false" outlineLevel="0" collapsed="false">
      <c r="A57" s="1" t="n">
        <v>6169</v>
      </c>
      <c r="B57" s="0" t="s">
        <v>314</v>
      </c>
      <c r="C57" s="0" t="s">
        <v>100</v>
      </c>
      <c r="G57" s="1"/>
      <c r="H57" s="1" t="e">
        <f aca="false">-((G57*100/F57)-100)</f>
        <v>#DIV/0!</v>
      </c>
      <c r="J57" s="1" t="n">
        <f aca="false">(F57-G57)*I57</f>
        <v>0</v>
      </c>
      <c r="K57" s="1" t="n">
        <f aca="false">G57*I57</f>
        <v>0</v>
      </c>
      <c r="M57" s="23" t="n">
        <v>375</v>
      </c>
      <c r="N57" s="3" t="s">
        <v>4</v>
      </c>
      <c r="O57" s="23" t="n">
        <v>375</v>
      </c>
      <c r="P57" s="0" t="s">
        <v>26</v>
      </c>
      <c r="R57" s="10" t="e">
        <f aca="false">(O57-L57)/G57</f>
        <v>#DIV/0!</v>
      </c>
    </row>
    <row r="58" customFormat="false" ht="16.4" hidden="false" customHeight="false" outlineLevel="0" collapsed="false">
      <c r="A58" s="1" t="n">
        <v>6164</v>
      </c>
      <c r="B58" s="0" t="s">
        <v>289</v>
      </c>
      <c r="C58" s="0" t="s">
        <v>315</v>
      </c>
      <c r="D58" s="1" t="s">
        <v>53</v>
      </c>
      <c r="E58" s="0" t="s">
        <v>68</v>
      </c>
      <c r="F58" s="1" t="n">
        <v>0.8</v>
      </c>
      <c r="G58" s="1" t="n">
        <v>0.8</v>
      </c>
      <c r="H58" s="1" t="n">
        <f aca="false">-((G58*100/F58)-100)</f>
        <v>-0</v>
      </c>
      <c r="I58" s="33" t="n">
        <v>582</v>
      </c>
      <c r="J58" s="1" t="n">
        <f aca="false">(F58-G58)*I58</f>
        <v>0</v>
      </c>
      <c r="K58" s="1" t="n">
        <f aca="false">G58*I58</f>
        <v>465.6</v>
      </c>
      <c r="M58" s="23" t="n">
        <v>1294</v>
      </c>
      <c r="N58" s="3" t="s">
        <v>4</v>
      </c>
      <c r="O58" s="23" t="n">
        <v>1294</v>
      </c>
      <c r="P58" s="0" t="s">
        <v>26</v>
      </c>
      <c r="R58" s="10" t="n">
        <f aca="false">(O58-L58)/G58</f>
        <v>1617.5</v>
      </c>
    </row>
    <row r="59" customFormat="false" ht="16.4" hidden="false" customHeight="false" outlineLevel="0" collapsed="false">
      <c r="A59" s="1" t="n">
        <v>6142</v>
      </c>
      <c r="B59" s="0" t="s">
        <v>159</v>
      </c>
      <c r="C59" s="0" t="s">
        <v>316</v>
      </c>
      <c r="D59" s="1" t="s">
        <v>37</v>
      </c>
      <c r="E59" s="0" t="s">
        <v>38</v>
      </c>
      <c r="F59" s="1" t="n">
        <v>1.31</v>
      </c>
      <c r="G59" s="1" t="n">
        <v>1.31</v>
      </c>
      <c r="H59" s="1" t="n">
        <f aca="false">-((G59*100/F59)-100)</f>
        <v>-0</v>
      </c>
      <c r="I59" s="33" t="n">
        <v>450</v>
      </c>
      <c r="J59" s="1" t="n">
        <f aca="false">(F59-G59)*I59</f>
        <v>0</v>
      </c>
      <c r="K59" s="1" t="n">
        <f aca="false">G59*I59</f>
        <v>589.5</v>
      </c>
      <c r="M59" s="23" t="n">
        <v>1985</v>
      </c>
      <c r="N59" s="3" t="s">
        <v>4</v>
      </c>
      <c r="O59" s="23" t="n">
        <v>1985</v>
      </c>
      <c r="P59" s="0" t="s">
        <v>26</v>
      </c>
      <c r="R59" s="10" t="n">
        <f aca="false">(O59-L59)/G59</f>
        <v>1515.26717557252</v>
      </c>
    </row>
    <row r="60" customFormat="false" ht="16.4" hidden="false" customHeight="false" outlineLevel="0" collapsed="false">
      <c r="A60" s="1" t="n">
        <v>6142</v>
      </c>
      <c r="B60" s="0" t="s">
        <v>159</v>
      </c>
      <c r="C60" s="0" t="s">
        <v>42</v>
      </c>
      <c r="D60" s="1" t="s">
        <v>37</v>
      </c>
      <c r="E60" s="0" t="s">
        <v>38</v>
      </c>
      <c r="F60" s="1" t="n">
        <v>5.65</v>
      </c>
      <c r="G60" s="1" t="n">
        <v>5.65</v>
      </c>
      <c r="H60" s="1" t="n">
        <f aca="false">-((G60*100/F60)-100)</f>
        <v>-0</v>
      </c>
      <c r="I60" s="33" t="n">
        <v>450</v>
      </c>
      <c r="J60" s="1" t="n">
        <f aca="false">(F60-G60)*I60</f>
        <v>0</v>
      </c>
      <c r="K60" s="1" t="n">
        <f aca="false">G60*I60</f>
        <v>2542.5</v>
      </c>
      <c r="M60" s="23" t="n">
        <v>8598</v>
      </c>
      <c r="N60" s="3" t="s">
        <v>4</v>
      </c>
      <c r="O60" s="23" t="n">
        <v>8598</v>
      </c>
      <c r="P60" s="0" t="s">
        <v>26</v>
      </c>
      <c r="R60" s="10" t="n">
        <f aca="false">(O60-L60)/G60</f>
        <v>1521.76991150442</v>
      </c>
    </row>
    <row r="61" customFormat="false" ht="16.4" hidden="false" customHeight="false" outlineLevel="0" collapsed="false">
      <c r="A61" s="1" t="n">
        <v>6170</v>
      </c>
      <c r="B61" s="0" t="s">
        <v>289</v>
      </c>
      <c r="C61" s="0" t="s">
        <v>67</v>
      </c>
      <c r="D61" s="1" t="s">
        <v>53</v>
      </c>
      <c r="E61" s="0" t="s">
        <v>68</v>
      </c>
      <c r="F61" s="1" t="n">
        <v>2.31</v>
      </c>
      <c r="G61" s="1" t="n">
        <v>2.31</v>
      </c>
      <c r="H61" s="1" t="n">
        <f aca="false">-((G61*100/F61)-100)</f>
        <v>-0</v>
      </c>
      <c r="I61" s="33" t="n">
        <v>582</v>
      </c>
      <c r="J61" s="1" t="n">
        <f aca="false">(F61-G61)*I61</f>
        <v>0</v>
      </c>
      <c r="K61" s="1" t="n">
        <f aca="false">G61*I61</f>
        <v>1344.42</v>
      </c>
      <c r="M61" s="23" t="n">
        <v>2420</v>
      </c>
      <c r="N61" s="3" t="s">
        <v>4</v>
      </c>
      <c r="O61" s="23" t="n">
        <v>2420</v>
      </c>
      <c r="P61" s="0" t="s">
        <v>26</v>
      </c>
      <c r="R61" s="10" t="n">
        <f aca="false">(O61-L61)/G61</f>
        <v>1047.61904761905</v>
      </c>
    </row>
    <row r="62" customFormat="false" ht="15" hidden="false" customHeight="false" outlineLevel="0" collapsed="false">
      <c r="A62" s="1"/>
      <c r="D62" s="1"/>
      <c r="F62" s="1"/>
      <c r="G62" s="1"/>
      <c r="H62" s="1"/>
      <c r="J62" s="1"/>
      <c r="K62" s="1" t="n">
        <f aca="false">G62*I62</f>
        <v>0</v>
      </c>
      <c r="M62" s="23"/>
      <c r="N62" s="3"/>
      <c r="O62" s="23"/>
      <c r="R62" s="10"/>
    </row>
    <row r="63" customFormat="false" ht="15" hidden="false" customHeight="false" outlineLevel="0" collapsed="false">
      <c r="A63" s="1"/>
      <c r="D63" s="1"/>
      <c r="F63" s="1"/>
      <c r="H63" s="1"/>
      <c r="J63" s="1"/>
      <c r="K63" s="1"/>
      <c r="M63" s="23"/>
      <c r="N63" s="1"/>
      <c r="O63" s="23"/>
      <c r="R63" s="10"/>
    </row>
    <row r="64" customFormat="false" ht="15" hidden="false" customHeight="false" outlineLevel="0" collapsed="false">
      <c r="A64" s="1"/>
      <c r="D64" s="1"/>
      <c r="F64" s="1"/>
      <c r="H64" s="1"/>
      <c r="J64" s="1"/>
      <c r="K64" s="1"/>
      <c r="M64" s="23"/>
      <c r="N64" s="1"/>
      <c r="O64" s="23"/>
      <c r="R64" s="10"/>
    </row>
    <row r="65" s="51" customFormat="true" ht="15" hidden="false" customHeight="false" outlineLevel="0" collapsed="false">
      <c r="A65" s="50"/>
      <c r="D65" s="50"/>
      <c r="F65" s="50" t="n">
        <v>114.8</v>
      </c>
      <c r="G65" s="51" t="n">
        <v>109.21</v>
      </c>
      <c r="H65" s="50"/>
      <c r="J65" s="50" t="n">
        <v>335</v>
      </c>
      <c r="K65" s="50" t="n">
        <v>61837.42</v>
      </c>
      <c r="L65" s="51" t="n">
        <v>192</v>
      </c>
      <c r="M65" s="52" t="n">
        <f aca="false">SUM(M4:M64)</f>
        <v>194726</v>
      </c>
      <c r="N65" s="50"/>
      <c r="O65" s="52"/>
      <c r="R65" s="53"/>
    </row>
    <row r="66" customFormat="false" ht="15" hidden="false" customHeight="false" outlineLevel="0" collapsed="false">
      <c r="A66" s="1"/>
      <c r="D66" s="1"/>
      <c r="F66" s="1"/>
      <c r="G66" s="1"/>
      <c r="H66" s="1"/>
      <c r="J66" s="1"/>
      <c r="K66" s="1"/>
      <c r="M66" s="23"/>
      <c r="N66" s="1"/>
      <c r="O66" s="23"/>
      <c r="R66" s="10"/>
    </row>
    <row r="67" customFormat="false" ht="15" hidden="false" customHeight="false" outlineLevel="0" collapsed="false">
      <c r="A67" s="1"/>
      <c r="D67" s="1"/>
      <c r="F67" s="1"/>
      <c r="G67" s="1"/>
      <c r="H67" s="1"/>
      <c r="I67" s="1"/>
      <c r="J67" s="1"/>
      <c r="K67" s="1"/>
      <c r="M67" s="23"/>
      <c r="N67" s="1"/>
      <c r="O67" s="23"/>
      <c r="R67" s="10"/>
    </row>
    <row r="68" customFormat="false" ht="15" hidden="false" customHeight="false" outlineLevel="0" collapsed="false">
      <c r="A68" s="1"/>
      <c r="D68" s="1"/>
      <c r="F68" s="1"/>
      <c r="G68" s="1"/>
      <c r="H68" s="1"/>
      <c r="I68" s="1"/>
      <c r="J68" s="1"/>
      <c r="K68" s="1"/>
      <c r="M68" s="23"/>
      <c r="N68" s="1"/>
      <c r="O68" s="23"/>
      <c r="R68" s="10"/>
    </row>
    <row r="69" customFormat="false" ht="15" hidden="false" customHeight="false" outlineLevel="0" collapsed="false">
      <c r="A69" s="1"/>
      <c r="D69" s="1"/>
      <c r="F69" s="1"/>
      <c r="G69" s="1"/>
      <c r="H69" s="1"/>
      <c r="I69" s="1"/>
      <c r="J69" s="1"/>
      <c r="K69" s="1"/>
      <c r="M69" s="23"/>
      <c r="N69" s="1"/>
      <c r="O69" s="23"/>
      <c r="R69" s="10"/>
    </row>
    <row r="70" customFormat="false" ht="15" hidden="false" customHeight="false" outlineLevel="0" collapsed="false">
      <c r="A70" s="1"/>
      <c r="D70" s="1"/>
      <c r="F70" s="1"/>
      <c r="G70" s="1"/>
      <c r="H70" s="1"/>
      <c r="I70" s="1"/>
      <c r="J70" s="1"/>
      <c r="K70" s="1"/>
      <c r="M70" s="23"/>
      <c r="N70" s="1"/>
      <c r="O70" s="23"/>
      <c r="R70" s="10"/>
    </row>
    <row r="71" customFormat="false" ht="15" hidden="false" customHeight="false" outlineLevel="0" collapsed="false">
      <c r="A71" s="1"/>
      <c r="D71" s="1"/>
      <c r="F71" s="1"/>
      <c r="G71" s="1"/>
      <c r="H71" s="1"/>
      <c r="J71" s="1"/>
      <c r="K71" s="1"/>
      <c r="M71" s="23"/>
      <c r="N71" s="1"/>
      <c r="O71" s="23"/>
      <c r="R71" s="10"/>
    </row>
    <row r="72" customFormat="false" ht="15" hidden="false" customHeight="false" outlineLevel="0" collapsed="false">
      <c r="A72" s="1"/>
      <c r="D72" s="1"/>
      <c r="F72" s="1"/>
      <c r="G72" s="1"/>
      <c r="H72" s="1"/>
      <c r="J72" s="1"/>
      <c r="K72" s="1"/>
      <c r="M72" s="23"/>
      <c r="N72" s="1"/>
      <c r="O72" s="23"/>
      <c r="R72" s="10"/>
    </row>
    <row r="73" customFormat="false" ht="15" hidden="false" customHeight="false" outlineLevel="0" collapsed="false">
      <c r="A73" s="1"/>
      <c r="D73" s="1"/>
      <c r="F73" s="1"/>
      <c r="G73" s="1"/>
      <c r="H73" s="1"/>
      <c r="J73" s="1"/>
      <c r="K73" s="1"/>
      <c r="M73" s="23"/>
      <c r="N73" s="1"/>
      <c r="O73" s="23"/>
      <c r="R73" s="10"/>
    </row>
    <row r="74" customFormat="false" ht="15" hidden="false" customHeight="false" outlineLevel="0" collapsed="false">
      <c r="A74" s="1"/>
      <c r="D74" s="1"/>
      <c r="F74" s="1"/>
      <c r="G74" s="1"/>
      <c r="H74" s="1"/>
      <c r="J74" s="1"/>
      <c r="K74" s="1"/>
      <c r="M74" s="23"/>
      <c r="N74" s="1"/>
      <c r="O74" s="23"/>
      <c r="R74" s="10"/>
    </row>
    <row r="75" customFormat="false" ht="15" hidden="false" customHeight="false" outlineLevel="0" collapsed="false">
      <c r="A75" s="1"/>
      <c r="D75" s="1"/>
      <c r="F75" s="1"/>
      <c r="H75" s="1"/>
      <c r="J75" s="1"/>
      <c r="K75" s="1"/>
      <c r="M75" s="23"/>
      <c r="N75" s="1"/>
      <c r="O75" s="23"/>
      <c r="R75" s="10"/>
    </row>
    <row r="76" customFormat="false" ht="15" hidden="false" customHeight="false" outlineLevel="0" collapsed="false">
      <c r="A76" s="1"/>
      <c r="D76" s="1"/>
      <c r="F76" s="1"/>
      <c r="H76" s="1"/>
      <c r="J76" s="1"/>
      <c r="K76" s="1"/>
      <c r="M76" s="23"/>
      <c r="N76" s="1"/>
      <c r="O76" s="23"/>
      <c r="R76" s="10"/>
    </row>
    <row r="77" customFormat="false" ht="15" hidden="false" customHeight="false" outlineLevel="0" collapsed="false">
      <c r="A77" s="1"/>
      <c r="F77" s="1"/>
      <c r="H77" s="1"/>
      <c r="J77" s="1"/>
      <c r="K77" s="1"/>
      <c r="M77" s="23"/>
      <c r="N77" s="1"/>
      <c r="O77" s="23"/>
      <c r="R77" s="10"/>
    </row>
    <row r="78" customFormat="false" ht="15" hidden="false" customHeight="false" outlineLevel="0" collapsed="false">
      <c r="F78" s="1"/>
      <c r="J78" s="1"/>
      <c r="K78" s="1"/>
    </row>
    <row r="79" customFormat="false" ht="15" hidden="false" customHeight="false" outlineLevel="0" collapsed="false">
      <c r="A79" s="1"/>
      <c r="D79" s="1"/>
      <c r="F79" s="1"/>
      <c r="H79" s="1"/>
      <c r="J79" s="1"/>
      <c r="K79" s="1"/>
      <c r="M79" s="23"/>
      <c r="N79" s="1"/>
      <c r="O79" s="23"/>
      <c r="R79" s="10"/>
    </row>
    <row r="80" customFormat="false" ht="15" hidden="false" customHeight="false" outlineLevel="0" collapsed="false">
      <c r="A80" s="1"/>
      <c r="D80" s="1"/>
      <c r="F80" s="1"/>
      <c r="H80" s="1"/>
      <c r="J80" s="1"/>
      <c r="K80" s="1"/>
      <c r="M80" s="23"/>
      <c r="N80" s="1"/>
      <c r="O80" s="23"/>
      <c r="R80" s="10"/>
    </row>
    <row r="81" customFormat="false" ht="15" hidden="false" customHeight="false" outlineLevel="0" collapsed="false">
      <c r="J81" s="1"/>
      <c r="K81" s="1"/>
    </row>
    <row r="82" customFormat="false" ht="15" hidden="false" customHeight="false" outlineLevel="0" collapsed="false">
      <c r="A82" s="1"/>
      <c r="D82" s="1"/>
      <c r="F82" s="1"/>
      <c r="G82" s="1"/>
      <c r="H82" s="1"/>
      <c r="I82" s="1"/>
      <c r="J82" s="1"/>
      <c r="K82" s="1"/>
      <c r="L82" s="10"/>
      <c r="M82" s="32"/>
      <c r="N82" s="3"/>
      <c r="O82" s="35"/>
      <c r="R82" s="10"/>
    </row>
    <row r="83" customFormat="false" ht="15" hidden="false" customHeight="false" outlineLevel="0" collapsed="false">
      <c r="A83" s="1"/>
      <c r="D83" s="1"/>
      <c r="F83" s="1"/>
      <c r="G83" s="1"/>
      <c r="H83" s="1"/>
      <c r="I83" s="1"/>
      <c r="J83" s="1"/>
      <c r="K83" s="1"/>
      <c r="L83" s="32"/>
      <c r="M83" s="32"/>
      <c r="N83" s="3"/>
      <c r="O83" s="35"/>
      <c r="R83" s="10"/>
    </row>
    <row r="84" customFormat="false" ht="15" hidden="false" customHeight="false" outlineLevel="0" collapsed="false">
      <c r="A84" s="1"/>
      <c r="D84" s="1"/>
      <c r="F84" s="1"/>
      <c r="G84" s="1"/>
      <c r="H84" s="1"/>
      <c r="J84" s="1"/>
      <c r="K84" s="1"/>
      <c r="M84" s="23"/>
      <c r="N84" s="3"/>
      <c r="O84" s="23"/>
      <c r="R84" s="10"/>
    </row>
    <row r="85" customFormat="false" ht="15" hidden="false" customHeight="false" outlineLevel="0" collapsed="false">
      <c r="A85" s="1"/>
      <c r="D85" s="1"/>
      <c r="F85" s="1"/>
      <c r="G85" s="1"/>
      <c r="H85" s="1"/>
      <c r="I85" s="1"/>
      <c r="J85" s="1"/>
      <c r="K85" s="1"/>
      <c r="M85" s="23"/>
      <c r="N85" s="3"/>
      <c r="O85" s="23"/>
      <c r="R85" s="10"/>
    </row>
    <row r="86" customFormat="false" ht="15" hidden="false" customHeight="false" outlineLevel="0" collapsed="false">
      <c r="D86" s="1"/>
      <c r="F86" s="1"/>
      <c r="G86" s="1"/>
      <c r="J86" s="1"/>
      <c r="K86" s="1"/>
    </row>
    <row r="87" customFormat="false" ht="15" hidden="false" customHeight="false" outlineLevel="0" collapsed="false">
      <c r="A87" s="1"/>
      <c r="D87" s="1"/>
      <c r="F87" s="1"/>
      <c r="G87" s="1"/>
      <c r="H87" s="1"/>
      <c r="J87" s="1"/>
      <c r="K87" s="1"/>
      <c r="M87" s="23"/>
      <c r="N87" s="1"/>
      <c r="O87" s="23"/>
      <c r="R87" s="10"/>
    </row>
    <row r="88" customFormat="false" ht="15" hidden="false" customHeight="false" outlineLevel="0" collapsed="false">
      <c r="A88" s="1"/>
      <c r="D88" s="1"/>
      <c r="F88" s="1"/>
      <c r="G88" s="1"/>
      <c r="H88" s="1"/>
      <c r="J88" s="1"/>
      <c r="K88" s="1"/>
      <c r="M88" s="23"/>
      <c r="N88" s="1"/>
      <c r="O88" s="23"/>
      <c r="R88" s="10"/>
    </row>
    <row r="89" customFormat="false" ht="15" hidden="false" customHeight="false" outlineLevel="0" collapsed="false">
      <c r="A89" s="1"/>
      <c r="D89" s="1"/>
      <c r="F89" s="1"/>
      <c r="G89" s="1"/>
      <c r="H89" s="1"/>
      <c r="J89" s="1"/>
      <c r="K89" s="1"/>
      <c r="M89" s="23"/>
      <c r="N89" s="1"/>
      <c r="O89" s="23"/>
      <c r="R89" s="10"/>
    </row>
    <row r="90" customFormat="false" ht="15" hidden="false" customHeight="false" outlineLevel="0" collapsed="false">
      <c r="A90" s="1"/>
      <c r="D90" s="1"/>
      <c r="F90" s="1"/>
      <c r="G90" s="1"/>
      <c r="H90" s="1"/>
      <c r="J90" s="1"/>
      <c r="K90" s="1"/>
      <c r="M90" s="23"/>
      <c r="N90" s="1"/>
      <c r="O90" s="23"/>
      <c r="R90" s="10"/>
    </row>
    <row r="91" customFormat="false" ht="15" hidden="false" customHeight="false" outlineLevel="0" collapsed="false">
      <c r="A91" s="1"/>
      <c r="D91" s="1"/>
      <c r="F91" s="1"/>
      <c r="G91" s="1"/>
      <c r="H91" s="1"/>
      <c r="J91" s="1"/>
      <c r="K91" s="1"/>
      <c r="M91" s="23"/>
      <c r="N91" s="1"/>
      <c r="O91" s="23"/>
      <c r="R91" s="10"/>
    </row>
    <row r="92" customFormat="false" ht="15" hidden="false" customHeight="false" outlineLevel="0" collapsed="false">
      <c r="A92" s="1"/>
      <c r="D92" s="1"/>
      <c r="F92" s="1"/>
      <c r="G92" s="1"/>
      <c r="H92" s="1"/>
      <c r="J92" s="1"/>
      <c r="K92" s="1"/>
      <c r="M92" s="23"/>
      <c r="N92" s="1"/>
      <c r="O92" s="23"/>
      <c r="R92" s="10"/>
    </row>
    <row r="93" customFormat="false" ht="15" hidden="false" customHeight="false" outlineLevel="0" collapsed="false">
      <c r="A93" s="1"/>
      <c r="D93" s="1"/>
      <c r="F93" s="1"/>
      <c r="G93" s="1"/>
      <c r="H93" s="1"/>
      <c r="J93" s="1"/>
      <c r="K93" s="1"/>
      <c r="N93" s="1"/>
      <c r="R93" s="10"/>
    </row>
    <row r="94" customFormat="false" ht="15" hidden="false" customHeight="false" outlineLevel="0" collapsed="false">
      <c r="A94" s="1"/>
      <c r="D94" s="1"/>
      <c r="F94" s="1"/>
      <c r="G94" s="1"/>
      <c r="H94" s="1"/>
      <c r="J94" s="1"/>
      <c r="K94" s="1"/>
      <c r="M94" s="23"/>
      <c r="N94" s="1"/>
      <c r="O94" s="23"/>
      <c r="R94" s="10"/>
    </row>
    <row r="95" customFormat="false" ht="15" hidden="false" customHeight="false" outlineLevel="0" collapsed="false">
      <c r="A95" s="1"/>
      <c r="D95" s="1"/>
      <c r="F95" s="1"/>
      <c r="G95" s="1"/>
      <c r="H95" s="1"/>
      <c r="J95" s="1"/>
      <c r="K95" s="1"/>
      <c r="M95" s="23"/>
      <c r="N95" s="1"/>
      <c r="O95" s="23"/>
      <c r="R95" s="10"/>
    </row>
    <row r="96" customFormat="false" ht="15" hidden="false" customHeight="false" outlineLevel="0" collapsed="false">
      <c r="A96" s="1"/>
      <c r="D96" s="1"/>
      <c r="F96" s="1"/>
      <c r="G96" s="1"/>
      <c r="H96" s="1"/>
      <c r="J96" s="1"/>
      <c r="K96" s="1"/>
      <c r="M96" s="23"/>
      <c r="N96" s="1"/>
      <c r="O96" s="23"/>
      <c r="R96" s="10"/>
    </row>
    <row r="97" customFormat="false" ht="15" hidden="false" customHeight="false" outlineLevel="0" collapsed="false">
      <c r="A97" s="1"/>
      <c r="D97" s="1"/>
      <c r="F97" s="1"/>
      <c r="G97" s="1"/>
      <c r="H97" s="1"/>
      <c r="I97" s="1"/>
      <c r="J97" s="1"/>
      <c r="K97" s="1"/>
      <c r="M97" s="23"/>
      <c r="N97" s="1"/>
      <c r="O97" s="23"/>
      <c r="R97" s="10"/>
    </row>
    <row r="98" customFormat="false" ht="15" hidden="false" customHeight="false" outlineLevel="0" collapsed="false">
      <c r="A98" s="1"/>
      <c r="D98" s="1"/>
      <c r="F98" s="1"/>
      <c r="G98" s="1"/>
      <c r="H98" s="1"/>
      <c r="I98" s="1"/>
      <c r="J98" s="1"/>
      <c r="K98" s="1"/>
      <c r="M98" s="23"/>
      <c r="N98" s="1"/>
      <c r="O98" s="23"/>
      <c r="R98" s="10"/>
    </row>
    <row r="99" customFormat="false" ht="15" hidden="false" customHeight="false" outlineLevel="0" collapsed="false">
      <c r="A99" s="1"/>
      <c r="D99" s="1"/>
      <c r="F99" s="1"/>
      <c r="G99" s="1"/>
      <c r="H99" s="1"/>
      <c r="I99" s="1"/>
      <c r="J99" s="1"/>
      <c r="K99" s="1"/>
      <c r="M99" s="23"/>
      <c r="N99" s="1"/>
      <c r="O99" s="23"/>
      <c r="R99" s="10"/>
    </row>
    <row r="100" customFormat="false" ht="15" hidden="false" customHeight="false" outlineLevel="0" collapsed="false">
      <c r="A100" s="1"/>
      <c r="D100" s="1"/>
      <c r="F100" s="1"/>
      <c r="G100" s="1"/>
      <c r="H100" s="1"/>
      <c r="I100" s="1"/>
      <c r="J100" s="1"/>
      <c r="K100" s="1"/>
      <c r="M100" s="23"/>
      <c r="N100" s="1"/>
      <c r="O100" s="23"/>
      <c r="R100" s="10"/>
    </row>
    <row r="101" customFormat="false" ht="15" hidden="false" customHeight="false" outlineLevel="0" collapsed="false">
      <c r="A101" s="1"/>
      <c r="D101" s="1"/>
      <c r="F101" s="1"/>
      <c r="G101" s="1"/>
      <c r="H101" s="1"/>
      <c r="I101" s="1"/>
      <c r="J101" s="1"/>
      <c r="K101" s="1"/>
      <c r="M101" s="23"/>
      <c r="N101" s="1"/>
      <c r="O101" s="23"/>
      <c r="R101" s="10"/>
    </row>
    <row r="102" customFormat="false" ht="15" hidden="false" customHeight="false" outlineLevel="0" collapsed="false">
      <c r="A102" s="1"/>
      <c r="D102" s="1"/>
      <c r="F102" s="1"/>
      <c r="G102" s="1"/>
      <c r="H102" s="1"/>
      <c r="J102" s="1"/>
      <c r="K102" s="1"/>
      <c r="M102" s="23"/>
      <c r="N102" s="1"/>
      <c r="O102" s="23"/>
      <c r="R102" s="10"/>
    </row>
    <row r="103" customFormat="false" ht="15" hidden="false" customHeight="false" outlineLevel="0" collapsed="false">
      <c r="D103" s="1"/>
      <c r="F103" s="1"/>
      <c r="G103" s="1"/>
      <c r="H103" s="1"/>
      <c r="J103" s="1"/>
      <c r="K103" s="1"/>
      <c r="N103" s="1"/>
      <c r="R103" s="10"/>
    </row>
    <row r="104" customFormat="false" ht="15" hidden="false" customHeight="false" outlineLevel="0" collapsed="false">
      <c r="A104" s="1"/>
      <c r="D104" s="1"/>
      <c r="F104" s="1"/>
      <c r="G104" s="1"/>
      <c r="H104" s="1"/>
      <c r="J104" s="1"/>
      <c r="K104" s="1"/>
      <c r="M104" s="23"/>
      <c r="N104" s="1"/>
      <c r="O104" s="23"/>
      <c r="R104" s="10"/>
    </row>
    <row r="105" customFormat="false" ht="15" hidden="false" customHeight="false" outlineLevel="0" collapsed="false">
      <c r="A105" s="1"/>
      <c r="D105" s="1"/>
      <c r="F105" s="1"/>
      <c r="G105" s="1"/>
      <c r="H105" s="1"/>
      <c r="J105" s="1"/>
      <c r="K105" s="1"/>
      <c r="M105" s="23"/>
      <c r="N105" s="1"/>
      <c r="O105" s="23"/>
      <c r="R105" s="10"/>
    </row>
    <row r="106" customFormat="false" ht="15" hidden="false" customHeight="false" outlineLevel="0" collapsed="false">
      <c r="A106" s="1"/>
      <c r="D106" s="1"/>
      <c r="F106" s="1"/>
      <c r="G106" s="1"/>
      <c r="H106" s="1"/>
      <c r="J106" s="1"/>
      <c r="K106" s="1"/>
      <c r="M106" s="23"/>
      <c r="N106" s="1"/>
      <c r="O106" s="23"/>
      <c r="R106" s="10"/>
    </row>
    <row r="107" customFormat="false" ht="15" hidden="false" customHeight="false" outlineLevel="0" collapsed="false">
      <c r="A107" s="1"/>
      <c r="D107" s="1"/>
      <c r="F107" s="1"/>
      <c r="G107" s="1"/>
      <c r="H107" s="1"/>
      <c r="J107" s="1"/>
      <c r="K107" s="1"/>
      <c r="M107" s="23"/>
      <c r="N107" s="1"/>
      <c r="O107" s="23"/>
      <c r="R107" s="10"/>
    </row>
    <row r="108" customFormat="false" ht="15" hidden="false" customHeight="false" outlineLevel="0" collapsed="false">
      <c r="A108" s="1"/>
      <c r="D108" s="1"/>
      <c r="F108" s="1"/>
      <c r="H108" s="1"/>
      <c r="J108" s="1"/>
      <c r="K108" s="1"/>
      <c r="M108" s="23"/>
      <c r="N108" s="1"/>
      <c r="O108" s="23"/>
      <c r="R108" s="10"/>
    </row>
    <row r="109" customFormat="false" ht="15" hidden="false" customHeight="false" outlineLevel="0" collapsed="false">
      <c r="A109" s="1"/>
      <c r="D109" s="1"/>
      <c r="F109" s="1"/>
      <c r="H109" s="1"/>
      <c r="J109" s="1"/>
      <c r="K109" s="1"/>
      <c r="M109" s="23"/>
      <c r="N109" s="1"/>
      <c r="O109" s="23"/>
      <c r="R109" s="10"/>
    </row>
    <row r="110" customFormat="false" ht="15" hidden="false" customHeight="false" outlineLevel="0" collapsed="false">
      <c r="A110" s="1"/>
      <c r="D110" s="1"/>
      <c r="F110" s="1"/>
      <c r="H110" s="1"/>
      <c r="J110" s="1"/>
      <c r="K110" s="1"/>
      <c r="M110" s="23"/>
      <c r="N110" s="1"/>
      <c r="O110" s="23"/>
      <c r="R110" s="10"/>
    </row>
    <row r="111" customFormat="false" ht="15" hidden="false" customHeight="false" outlineLevel="0" collapsed="false">
      <c r="A111" s="1"/>
      <c r="D111" s="1"/>
      <c r="F111" s="1"/>
      <c r="H111" s="1"/>
      <c r="J111" s="1"/>
      <c r="K111" s="1"/>
      <c r="M111" s="23"/>
      <c r="N111" s="1"/>
      <c r="O111" s="23"/>
      <c r="R111" s="10"/>
    </row>
    <row r="112" customFormat="false" ht="15" hidden="false" customHeight="false" outlineLevel="0" collapsed="false">
      <c r="J112" s="1"/>
      <c r="K112" s="1"/>
    </row>
    <row r="113" customFormat="false" ht="15" hidden="false" customHeight="false" outlineLevel="0" collapsed="false">
      <c r="A113" s="1"/>
      <c r="D113" s="1"/>
      <c r="F113" s="1"/>
      <c r="H113" s="1"/>
      <c r="J113" s="1"/>
      <c r="K113" s="1"/>
      <c r="M113" s="23"/>
      <c r="N113" s="1"/>
      <c r="O113" s="23"/>
      <c r="R113" s="10"/>
    </row>
    <row r="114" customFormat="false" ht="15" hidden="false" customHeight="false" outlineLevel="0" collapsed="false">
      <c r="J114" s="1"/>
      <c r="K114" s="1"/>
    </row>
    <row r="115" customFormat="false" ht="15" hidden="false" customHeight="false" outlineLevel="0" collapsed="false">
      <c r="A115" s="1"/>
      <c r="D115" s="1"/>
      <c r="F115" s="1"/>
      <c r="H115" s="1"/>
      <c r="J115" s="1"/>
      <c r="K115" s="1"/>
      <c r="M115" s="22"/>
      <c r="N115" s="1"/>
      <c r="O115" s="23"/>
      <c r="R115" s="10"/>
    </row>
    <row r="116" customFormat="false" ht="15" hidden="false" customHeight="false" outlineLevel="0" collapsed="false">
      <c r="A116" s="1"/>
      <c r="D116" s="1"/>
      <c r="F116" s="1"/>
      <c r="H116" s="1"/>
      <c r="J116" s="1"/>
      <c r="K116" s="1"/>
      <c r="M116" s="22"/>
      <c r="N116" s="1"/>
      <c r="O116" s="23"/>
      <c r="R116" s="10"/>
    </row>
    <row r="117" customFormat="false" ht="15" hidden="false" customHeight="false" outlineLevel="0" collapsed="false">
      <c r="A117" s="1"/>
      <c r="D117" s="1"/>
      <c r="F117" s="1"/>
      <c r="H117" s="1"/>
      <c r="J117" s="1"/>
      <c r="K117" s="1"/>
      <c r="M117" s="23"/>
      <c r="N117" s="1"/>
      <c r="O117" s="23"/>
      <c r="R117" s="10"/>
    </row>
    <row r="118" customFormat="false" ht="15" hidden="false" customHeight="false" outlineLevel="0" collapsed="false">
      <c r="A118" s="1"/>
      <c r="D118" s="1"/>
      <c r="H118" s="1"/>
      <c r="J118" s="1"/>
      <c r="K118" s="1"/>
      <c r="M118" s="23"/>
      <c r="N118" s="1"/>
      <c r="O118" s="23"/>
      <c r="R118" s="10"/>
    </row>
    <row r="119" customFormat="false" ht="15" hidden="false" customHeight="false" outlineLevel="0" collapsed="false">
      <c r="A119" s="1"/>
      <c r="D119" s="1"/>
      <c r="F119" s="1"/>
      <c r="H119" s="1"/>
      <c r="J119" s="1"/>
      <c r="K119" s="1"/>
      <c r="M119" s="23"/>
      <c r="N119" s="1"/>
      <c r="O119" s="23"/>
      <c r="R119" s="10"/>
    </row>
    <row r="120" customFormat="false" ht="15" hidden="false" customHeight="false" outlineLevel="0" collapsed="false">
      <c r="A120" s="1"/>
      <c r="D120" s="1"/>
      <c r="F120" s="1"/>
      <c r="H120" s="1"/>
      <c r="J120" s="1"/>
      <c r="K120" s="1"/>
      <c r="M120" s="23"/>
      <c r="N120" s="1"/>
      <c r="O120" s="23"/>
      <c r="R120" s="10"/>
    </row>
    <row r="121" customFormat="false" ht="15" hidden="false" customHeight="false" outlineLevel="0" collapsed="false">
      <c r="A121" s="1"/>
      <c r="D121" s="1"/>
      <c r="F121" s="1"/>
      <c r="H121" s="1"/>
      <c r="J121" s="1"/>
      <c r="K121" s="1"/>
      <c r="M121" s="23"/>
      <c r="N121" s="1"/>
      <c r="O121" s="23"/>
      <c r="R121" s="10"/>
    </row>
    <row r="122" customFormat="false" ht="15" hidden="false" customHeight="false" outlineLevel="0" collapsed="false">
      <c r="A122" s="1"/>
      <c r="D122" s="1"/>
      <c r="F122" s="1"/>
      <c r="H122" s="1"/>
      <c r="J122" s="1"/>
      <c r="K122" s="1"/>
      <c r="M122" s="23"/>
      <c r="N122" s="1"/>
      <c r="O122" s="23"/>
      <c r="R122" s="10"/>
    </row>
    <row r="123" customFormat="false" ht="15" hidden="false" customHeight="false" outlineLevel="0" collapsed="false">
      <c r="A123" s="1"/>
      <c r="D123" s="1"/>
      <c r="F123" s="1"/>
      <c r="H123" s="1"/>
      <c r="J123" s="1"/>
      <c r="K123" s="1"/>
      <c r="M123" s="23"/>
      <c r="N123" s="1"/>
      <c r="O123" s="23"/>
      <c r="R123" s="10"/>
    </row>
    <row r="124" customFormat="false" ht="15" hidden="false" customHeight="false" outlineLevel="0" collapsed="false">
      <c r="A124" s="1"/>
      <c r="D124" s="1"/>
      <c r="F124" s="1"/>
      <c r="H124" s="1"/>
      <c r="J124" s="1"/>
      <c r="K124" s="1"/>
      <c r="M124" s="23"/>
      <c r="N124" s="1"/>
      <c r="O124" s="23"/>
      <c r="R124" s="10"/>
    </row>
    <row r="125" customFormat="false" ht="15" hidden="false" customHeight="false" outlineLevel="0" collapsed="false">
      <c r="A125" s="1"/>
      <c r="D125" s="1"/>
      <c r="F125" s="1"/>
      <c r="H125" s="1"/>
      <c r="J125" s="1"/>
      <c r="K125" s="1"/>
      <c r="N125" s="1"/>
      <c r="R125" s="10"/>
    </row>
    <row r="126" customFormat="false" ht="15" hidden="false" customHeight="false" outlineLevel="0" collapsed="false">
      <c r="H126" s="1"/>
      <c r="J126" s="1"/>
      <c r="K126" s="1"/>
      <c r="N126" s="1"/>
      <c r="R126" s="10"/>
    </row>
    <row r="127" customFormat="false" ht="15" hidden="false" customHeight="false" outlineLevel="0" collapsed="false">
      <c r="H127" s="1"/>
      <c r="J127" s="1"/>
      <c r="K127" s="1"/>
      <c r="N127" s="1"/>
      <c r="R127" s="10"/>
    </row>
  </sheetData>
  <conditionalFormatting sqref="N55:N62">
    <cfRule type="containsText" priority="2" operator="containsText" aboveAverage="0" equalAverage="0" bottom="0" percent="0" rank="0" text="a montar" dxfId="757">
      <formula>NOT(ISERROR(SEARCH("a montar",N55)))</formula>
    </cfRule>
    <cfRule type="containsText" priority="3" operator="containsText" aboveAverage="0" equalAverage="0" bottom="0" percent="0" rank="0" text="a serrar" dxfId="758">
      <formula>NOT(ISERROR(SEARCH("a serrar",N55)))</formula>
    </cfRule>
    <cfRule type="containsText" priority="4" operator="containsText" aboveAverage="0" equalAverage="0" bottom="0" percent="0" rank="0" text="pronto" dxfId="759">
      <formula>NOT(ISERROR(SEARCH("pronto",N55)))</formula>
    </cfRule>
    <cfRule type="containsText" priority="5" operator="containsText" aboveAverage="0" equalAverage="0" bottom="0" percent="0" rank="0" text="empreita" dxfId="760">
      <formula>NOT(ISERROR(SEARCH("empreita",N55)))</formula>
    </cfRule>
    <cfRule type="containsText" priority="6" operator="containsText" aboveAverage="0" equalAverage="0" bottom="0" percent="0" rank="0" text="previsto" dxfId="761">
      <formula>NOT(ISERROR(SEARCH("previsto",N55)))</formula>
    </cfRule>
    <cfRule type="containsText" priority="7" operator="containsText" aboveAverage="0" equalAverage="0" bottom="0" percent="0" rank="0" text="produzindo" dxfId="762">
      <formula>NOT(ISERROR(SEARCH("produzindo",N55)))</formula>
    </cfRule>
    <cfRule type="containsText" priority="8" operator="containsText" aboveAverage="0" equalAverage="0" bottom="0" percent="0" rank="0" text="material ok" dxfId="763">
      <formula>NOT(ISERROR(SEARCH("material ok",N55)))</formula>
    </cfRule>
    <cfRule type="containsText" priority="9" operator="containsText" aboveAverage="0" equalAverage="0" bottom="0" percent="0" rank="0" text="a montar" dxfId="764">
      <formula>NOT(ISERROR(SEARCH("a montar",N55)))</formula>
    </cfRule>
    <cfRule type="containsText" priority="10" operator="containsText" aboveAverage="0" equalAverage="0" bottom="0" percent="0" rank="0" text="a serrar" dxfId="765">
      <formula>NOT(ISERROR(SEARCH("a serrar",N55)))</formula>
    </cfRule>
    <cfRule type="containsText" priority="11" operator="containsText" aboveAverage="0" equalAverage="0" bottom="0" percent="0" rank="0" text="pronto" dxfId="766">
      <formula>NOT(ISERROR(SEARCH("pronto",N55)))</formula>
    </cfRule>
    <cfRule type="containsText" priority="12" operator="containsText" aboveAverage="0" equalAverage="0" bottom="0" percent="0" rank="0" text="empreita" dxfId="767">
      <formula>NOT(ISERROR(SEARCH("empreita",N55)))</formula>
    </cfRule>
    <cfRule type="containsText" priority="13" operator="containsText" aboveAverage="0" equalAverage="0" bottom="0" percent="0" rank="0" text="previsto" dxfId="768">
      <formula>NOT(ISERROR(SEARCH("previsto",N55)))</formula>
    </cfRule>
    <cfRule type="containsText" priority="14" operator="containsText" aboveAverage="0" equalAverage="0" bottom="0" percent="0" rank="0" text="produzindo" dxfId="769">
      <formula>NOT(ISERROR(SEARCH("produzindo",N55)))</formula>
    </cfRule>
    <cfRule type="containsText" priority="15" operator="containsText" aboveAverage="0" equalAverage="0" bottom="0" percent="0" rank="0" text="material ok" dxfId="770">
      <formula>NOT(ISERROR(SEARCH("material ok",N55)))</formula>
    </cfRule>
    <cfRule type="containsText" priority="16" operator="containsText" aboveAverage="0" equalAverage="0" bottom="0" percent="0" rank="0" text="a serrar" dxfId="771">
      <formula>NOT(ISERROR(SEARCH("a serrar",N55)))</formula>
    </cfRule>
    <cfRule type="containsText" priority="17" operator="containsText" aboveAverage="0" equalAverage="0" bottom="0" percent="0" rank="0" text="pronto" dxfId="772">
      <formula>NOT(ISERROR(SEARCH("pronto",N55)))</formula>
    </cfRule>
    <cfRule type="containsText" priority="18" operator="containsText" aboveAverage="0" equalAverage="0" bottom="0" percent="0" rank="0" text="empreita" dxfId="773">
      <formula>NOT(ISERROR(SEARCH("empreita",N55)))</formula>
    </cfRule>
    <cfRule type="containsText" priority="19" operator="containsText" aboveAverage="0" equalAverage="0" bottom="0" percent="0" rank="0" text="previsto" dxfId="774">
      <formula>NOT(ISERROR(SEARCH("previsto",N55)))</formula>
    </cfRule>
    <cfRule type="containsText" priority="20" operator="containsText" aboveAverage="0" equalAverage="0" bottom="0" percent="0" rank="0" text="produzindo" dxfId="775">
      <formula>NOT(ISERROR(SEARCH("produzindo",N55)))</formula>
    </cfRule>
    <cfRule type="containsText" priority="21" operator="containsText" aboveAverage="0" equalAverage="0" bottom="0" percent="0" rank="0" text="material ok" dxfId="776">
      <formula>NOT(ISERROR(SEARCH("material ok",N55)))</formula>
    </cfRule>
  </conditionalFormatting>
  <conditionalFormatting sqref="N55:N77">
    <cfRule type="containsText" priority="22" operator="containsText" aboveAverage="0" equalAverage="0" bottom="0" percent="0" rank="0" text="a montar" dxfId="777">
      <formula>NOT(ISERROR(SEARCH("a montar",N55)))</formula>
    </cfRule>
  </conditionalFormatting>
  <conditionalFormatting sqref="N40:N41">
    <cfRule type="containsText" priority="23" operator="containsText" aboveAverage="0" equalAverage="0" bottom="0" percent="0" rank="0" text="a montar" dxfId="778">
      <formula>NOT(ISERROR(SEARCH("a montar",N40)))</formula>
    </cfRule>
    <cfRule type="containsText" priority="24" operator="containsText" aboveAverage="0" equalAverage="0" bottom="0" percent="0" rank="0" text="a serrar" dxfId="779">
      <formula>NOT(ISERROR(SEARCH("a serrar",N40)))</formula>
    </cfRule>
    <cfRule type="containsText" priority="25" operator="containsText" aboveAverage="0" equalAverage="0" bottom="0" percent="0" rank="0" text="pronto" dxfId="780">
      <formula>NOT(ISERROR(SEARCH("pronto",N40)))</formula>
    </cfRule>
    <cfRule type="containsText" priority="26" operator="containsText" aboveAverage="0" equalAverage="0" bottom="0" percent="0" rank="0" text="empreita" dxfId="781">
      <formula>NOT(ISERROR(SEARCH("empreita",N40)))</formula>
    </cfRule>
    <cfRule type="containsText" priority="27" operator="containsText" aboveAverage="0" equalAverage="0" bottom="0" percent="0" rank="0" text="previsto" dxfId="782">
      <formula>NOT(ISERROR(SEARCH("previsto",N40)))</formula>
    </cfRule>
    <cfRule type="containsText" priority="28" operator="containsText" aboveAverage="0" equalAverage="0" bottom="0" percent="0" rank="0" text="produzindo" dxfId="783">
      <formula>NOT(ISERROR(SEARCH("produzindo",N40)))</formula>
    </cfRule>
    <cfRule type="containsText" priority="29" operator="containsText" aboveAverage="0" equalAverage="0" bottom="0" percent="0" rank="0" text="material ok" dxfId="784">
      <formula>NOT(ISERROR(SEARCH("material ok",N40)))</formula>
    </cfRule>
  </conditionalFormatting>
  <conditionalFormatting sqref="N50:N53">
    <cfRule type="containsText" priority="30" operator="containsText" aboveAverage="0" equalAverage="0" bottom="0" percent="0" rank="0" text="a montar" dxfId="785">
      <formula>NOT(ISERROR(SEARCH("a montar",N50)))</formula>
    </cfRule>
    <cfRule type="containsText" priority="31" operator="containsText" aboveAverage="0" equalAverage="0" bottom="0" percent="0" rank="0" text="a serrar" dxfId="786">
      <formula>NOT(ISERROR(SEARCH("a serrar",N50)))</formula>
    </cfRule>
    <cfRule type="containsText" priority="32" operator="containsText" aboveAverage="0" equalAverage="0" bottom="0" percent="0" rank="0" text="pronto" dxfId="787">
      <formula>NOT(ISERROR(SEARCH("pronto",N50)))</formula>
    </cfRule>
    <cfRule type="containsText" priority="33" operator="containsText" aboveAverage="0" equalAverage="0" bottom="0" percent="0" rank="0" text="empreita" dxfId="788">
      <formula>NOT(ISERROR(SEARCH("empreita",N50)))</formula>
    </cfRule>
    <cfRule type="containsText" priority="34" operator="containsText" aboveAverage="0" equalAverage="0" bottom="0" percent="0" rank="0" text="previsto" dxfId="789">
      <formula>NOT(ISERROR(SEARCH("previsto",N50)))</formula>
    </cfRule>
    <cfRule type="containsText" priority="35" operator="containsText" aboveAverage="0" equalAverage="0" bottom="0" percent="0" rank="0" text="produzindo" dxfId="790">
      <formula>NOT(ISERROR(SEARCH("produzindo",N50)))</formula>
    </cfRule>
    <cfRule type="containsText" priority="36" operator="containsText" aboveAverage="0" equalAverage="0" bottom="0" percent="0" rank="0" text="material ok" dxfId="791">
      <formula>NOT(ISERROR(SEARCH("material ok",N50)))</formula>
    </cfRule>
    <cfRule type="containsText" priority="37" operator="containsText" aboveAverage="0" equalAverage="0" bottom="0" percent="0" rank="0" text="a montar" dxfId="792">
      <formula>NOT(ISERROR(SEARCH("a montar",N50)))</formula>
    </cfRule>
    <cfRule type="containsText" priority="38" operator="containsText" aboveAverage="0" equalAverage="0" bottom="0" percent="0" rank="0" text="a serrar" dxfId="793">
      <formula>NOT(ISERROR(SEARCH("a serrar",N50)))</formula>
    </cfRule>
    <cfRule type="containsText" priority="39" operator="containsText" aboveAverage="0" equalAverage="0" bottom="0" percent="0" rank="0" text="pronto" dxfId="794">
      <formula>NOT(ISERROR(SEARCH("pronto",N50)))</formula>
    </cfRule>
    <cfRule type="containsText" priority="40" operator="containsText" aboveAverage="0" equalAverage="0" bottom="0" percent="0" rank="0" text="empreita" dxfId="795">
      <formula>NOT(ISERROR(SEARCH("empreita",N50)))</formula>
    </cfRule>
    <cfRule type="containsText" priority="41" operator="containsText" aboveAverage="0" equalAverage="0" bottom="0" percent="0" rank="0" text="previsto" dxfId="796">
      <formula>NOT(ISERROR(SEARCH("previsto",N50)))</formula>
    </cfRule>
    <cfRule type="containsText" priority="42" operator="containsText" aboveAverage="0" equalAverage="0" bottom="0" percent="0" rank="0" text="produzindo" dxfId="797">
      <formula>NOT(ISERROR(SEARCH("produzindo",N50)))</formula>
    </cfRule>
    <cfRule type="containsText" priority="43" operator="containsText" aboveAverage="0" equalAverage="0" bottom="0" percent="0" rank="0" text="material ok" dxfId="798">
      <formula>NOT(ISERROR(SEARCH("material ok",N50)))</formula>
    </cfRule>
    <cfRule type="containsText" priority="44" operator="containsText" aboveAverage="0" equalAverage="0" bottom="0" percent="0" rank="0" text="a serrar" dxfId="799">
      <formula>NOT(ISERROR(SEARCH("a serrar",N50)))</formula>
    </cfRule>
    <cfRule type="containsText" priority="45" operator="containsText" aboveAverage="0" equalAverage="0" bottom="0" percent="0" rank="0" text="pronto" dxfId="800">
      <formula>NOT(ISERROR(SEARCH("pronto",N50)))</formula>
    </cfRule>
    <cfRule type="containsText" priority="46" operator="containsText" aboveAverage="0" equalAverage="0" bottom="0" percent="0" rank="0" text="empreita" dxfId="801">
      <formula>NOT(ISERROR(SEARCH("empreita",N50)))</formula>
    </cfRule>
    <cfRule type="containsText" priority="47" operator="containsText" aboveAverage="0" equalAverage="0" bottom="0" percent="0" rank="0" text="previsto" dxfId="802">
      <formula>NOT(ISERROR(SEARCH("previsto",N50)))</formula>
    </cfRule>
    <cfRule type="containsText" priority="48" operator="containsText" aboveAverage="0" equalAverage="0" bottom="0" percent="0" rank="0" text="produzindo" dxfId="803">
      <formula>NOT(ISERROR(SEARCH("produzindo",N50)))</formula>
    </cfRule>
    <cfRule type="containsText" priority="49" operator="containsText" aboveAverage="0" equalAverage="0" bottom="0" percent="0" rank="0" text="material ok" dxfId="804">
      <formula>NOT(ISERROR(SEARCH("material ok",N50)))</formula>
    </cfRule>
  </conditionalFormatting>
  <conditionalFormatting sqref="N43:N46">
    <cfRule type="containsText" priority="50" operator="containsText" aboveAverage="0" equalAverage="0" bottom="0" percent="0" rank="0" text="a montar" dxfId="805">
      <formula>NOT(ISERROR(SEARCH("a montar",N43)))</formula>
    </cfRule>
    <cfRule type="containsText" priority="51" operator="containsText" aboveAverage="0" equalAverage="0" bottom="0" percent="0" rank="0" text="a serrar" dxfId="806">
      <formula>NOT(ISERROR(SEARCH("a serrar",N43)))</formula>
    </cfRule>
    <cfRule type="containsText" priority="52" operator="containsText" aboveAverage="0" equalAverage="0" bottom="0" percent="0" rank="0" text="pronto" dxfId="807">
      <formula>NOT(ISERROR(SEARCH("pronto",N43)))</formula>
    </cfRule>
    <cfRule type="containsText" priority="53" operator="containsText" aboveAverage="0" equalAverage="0" bottom="0" percent="0" rank="0" text="empreita" dxfId="808">
      <formula>NOT(ISERROR(SEARCH("empreita",N43)))</formula>
    </cfRule>
    <cfRule type="containsText" priority="54" operator="containsText" aboveAverage="0" equalAverage="0" bottom="0" percent="0" rank="0" text="previsto" dxfId="809">
      <formula>NOT(ISERROR(SEARCH("previsto",N43)))</formula>
    </cfRule>
    <cfRule type="containsText" priority="55" operator="containsText" aboveAverage="0" equalAverage="0" bottom="0" percent="0" rank="0" text="produzindo" dxfId="810">
      <formula>NOT(ISERROR(SEARCH("produzindo",N43)))</formula>
    </cfRule>
    <cfRule type="containsText" priority="56" operator="containsText" aboveAverage="0" equalAverage="0" bottom="0" percent="0" rank="0" text="material ok" dxfId="811">
      <formula>NOT(ISERROR(SEARCH("material ok",N43)))</formula>
    </cfRule>
    <cfRule type="containsText" priority="57" operator="containsText" aboveAverage="0" equalAverage="0" bottom="0" percent="0" rank="0" text="a montar" dxfId="812">
      <formula>NOT(ISERROR(SEARCH("a montar",N43)))</formula>
    </cfRule>
    <cfRule type="containsText" priority="58" operator="containsText" aboveAverage="0" equalAverage="0" bottom="0" percent="0" rank="0" text="a serrar" dxfId="813">
      <formula>NOT(ISERROR(SEARCH("a serrar",N43)))</formula>
    </cfRule>
    <cfRule type="containsText" priority="59" operator="containsText" aboveAverage="0" equalAverage="0" bottom="0" percent="0" rank="0" text="pronto" dxfId="814">
      <formula>NOT(ISERROR(SEARCH("pronto",N43)))</formula>
    </cfRule>
    <cfRule type="containsText" priority="60" operator="containsText" aboveAverage="0" equalAverage="0" bottom="0" percent="0" rank="0" text="empreita" dxfId="815">
      <formula>NOT(ISERROR(SEARCH("empreita",N43)))</formula>
    </cfRule>
    <cfRule type="containsText" priority="61" operator="containsText" aboveAverage="0" equalAverage="0" bottom="0" percent="0" rank="0" text="previsto" dxfId="816">
      <formula>NOT(ISERROR(SEARCH("previsto",N43)))</formula>
    </cfRule>
    <cfRule type="containsText" priority="62" operator="containsText" aboveAverage="0" equalAverage="0" bottom="0" percent="0" rank="0" text="produzindo" dxfId="817">
      <formula>NOT(ISERROR(SEARCH("produzindo",N43)))</formula>
    </cfRule>
    <cfRule type="containsText" priority="63" operator="containsText" aboveAverage="0" equalAverage="0" bottom="0" percent="0" rank="0" text="material ok" dxfId="818">
      <formula>NOT(ISERROR(SEARCH("material ok",N43)))</formula>
    </cfRule>
    <cfRule type="containsText" priority="64" operator="containsText" aboveAverage="0" equalAverage="0" bottom="0" percent="0" rank="0" text="a montar" dxfId="819">
      <formula>NOT(ISERROR(SEARCH("a montar",N43)))</formula>
    </cfRule>
    <cfRule type="containsText" priority="65" operator="containsText" aboveAverage="0" equalAverage="0" bottom="0" percent="0" rank="0" text="a serrar" dxfId="820">
      <formula>NOT(ISERROR(SEARCH("a serrar",N43)))</formula>
    </cfRule>
    <cfRule type="containsText" priority="66" operator="containsText" aboveAverage="0" equalAverage="0" bottom="0" percent="0" rank="0" text="pronto" dxfId="821">
      <formula>NOT(ISERROR(SEARCH("pronto",N43)))</formula>
    </cfRule>
    <cfRule type="containsText" priority="67" operator="containsText" aboveAverage="0" equalAverage="0" bottom="0" percent="0" rank="0" text="empreita" dxfId="822">
      <formula>NOT(ISERROR(SEARCH("empreita",N43)))</formula>
    </cfRule>
    <cfRule type="containsText" priority="68" operator="containsText" aboveAverage="0" equalAverage="0" bottom="0" percent="0" rank="0" text="previsto" dxfId="823">
      <formula>NOT(ISERROR(SEARCH("previsto",N43)))</formula>
    </cfRule>
    <cfRule type="containsText" priority="69" operator="containsText" aboveAverage="0" equalAverage="0" bottom="0" percent="0" rank="0" text="produzindo" dxfId="824">
      <formula>NOT(ISERROR(SEARCH("produzindo",N43)))</formula>
    </cfRule>
    <cfRule type="containsText" priority="70" operator="containsText" aboveAverage="0" equalAverage="0" bottom="0" percent="0" rank="0" text="material ok" dxfId="825">
      <formula>NOT(ISERROR(SEARCH("material ok",N43)))</formula>
    </cfRule>
  </conditionalFormatting>
  <conditionalFormatting sqref="N48">
    <cfRule type="containsText" priority="71" operator="containsText" aboveAverage="0" equalAverage="0" bottom="0" percent="0" rank="0" text="a montar" dxfId="826">
      <formula>NOT(ISERROR(SEARCH("a montar",N48)))</formula>
    </cfRule>
    <cfRule type="containsText" priority="72" operator="containsText" aboveAverage="0" equalAverage="0" bottom="0" percent="0" rank="0" text="a serrar" dxfId="827">
      <formula>NOT(ISERROR(SEARCH("a serrar",N48)))</formula>
    </cfRule>
    <cfRule type="containsText" priority="73" operator="containsText" aboveAverage="0" equalAverage="0" bottom="0" percent="0" rank="0" text="pronto" dxfId="828">
      <formula>NOT(ISERROR(SEARCH("pronto",N48)))</formula>
    </cfRule>
    <cfRule type="containsText" priority="74" operator="containsText" aboveAverage="0" equalAverage="0" bottom="0" percent="0" rank="0" text="empreita" dxfId="829">
      <formula>NOT(ISERROR(SEARCH("empreita",N48)))</formula>
    </cfRule>
    <cfRule type="containsText" priority="75" operator="containsText" aboveAverage="0" equalAverage="0" bottom="0" percent="0" rank="0" text="previsto" dxfId="830">
      <formula>NOT(ISERROR(SEARCH("previsto",N48)))</formula>
    </cfRule>
    <cfRule type="containsText" priority="76" operator="containsText" aboveAverage="0" equalAverage="0" bottom="0" percent="0" rank="0" text="produzindo" dxfId="831">
      <formula>NOT(ISERROR(SEARCH("produzindo",N48)))</formula>
    </cfRule>
    <cfRule type="containsText" priority="77" operator="containsText" aboveAverage="0" equalAverage="0" bottom="0" percent="0" rank="0" text="material ok" dxfId="832">
      <formula>NOT(ISERROR(SEARCH("material ok",N48)))</formula>
    </cfRule>
    <cfRule type="containsText" priority="78" operator="containsText" aboveAverage="0" equalAverage="0" bottom="0" percent="0" rank="0" text="a montar" dxfId="833">
      <formula>NOT(ISERROR(SEARCH("a montar",N48)))</formula>
    </cfRule>
    <cfRule type="containsText" priority="79" operator="containsText" aboveAverage="0" equalAverage="0" bottom="0" percent="0" rank="0" text="a serrar" dxfId="834">
      <formula>NOT(ISERROR(SEARCH("a serrar",N48)))</formula>
    </cfRule>
    <cfRule type="containsText" priority="80" operator="containsText" aboveAverage="0" equalAverage="0" bottom="0" percent="0" rank="0" text="pronto" dxfId="835">
      <formula>NOT(ISERROR(SEARCH("pronto",N48)))</formula>
    </cfRule>
    <cfRule type="containsText" priority="81" operator="containsText" aboveAverage="0" equalAverage="0" bottom="0" percent="0" rank="0" text="empreita" dxfId="836">
      <formula>NOT(ISERROR(SEARCH("empreita",N48)))</formula>
    </cfRule>
    <cfRule type="containsText" priority="82" operator="containsText" aboveAverage="0" equalAverage="0" bottom="0" percent="0" rank="0" text="previsto" dxfId="837">
      <formula>NOT(ISERROR(SEARCH("previsto",N48)))</formula>
    </cfRule>
    <cfRule type="containsText" priority="83" operator="containsText" aboveAverage="0" equalAverage="0" bottom="0" percent="0" rank="0" text="produzindo" dxfId="838">
      <formula>NOT(ISERROR(SEARCH("produzindo",N48)))</formula>
    </cfRule>
    <cfRule type="containsText" priority="84" operator="containsText" aboveAverage="0" equalAverage="0" bottom="0" percent="0" rank="0" text="material ok" dxfId="839">
      <formula>NOT(ISERROR(SEARCH("material ok",N48)))</formula>
    </cfRule>
    <cfRule type="containsText" priority="85" operator="containsText" aboveAverage="0" equalAverage="0" bottom="0" percent="0" rank="0" text="a serrar" dxfId="840">
      <formula>NOT(ISERROR(SEARCH("a serrar",N48)))</formula>
    </cfRule>
    <cfRule type="containsText" priority="86" operator="containsText" aboveAverage="0" equalAverage="0" bottom="0" percent="0" rank="0" text="pronto" dxfId="841">
      <formula>NOT(ISERROR(SEARCH("pronto",N48)))</formula>
    </cfRule>
    <cfRule type="containsText" priority="87" operator="containsText" aboveAverage="0" equalAverage="0" bottom="0" percent="0" rank="0" text="empreita" dxfId="842">
      <formula>NOT(ISERROR(SEARCH("empreita",N48)))</formula>
    </cfRule>
    <cfRule type="containsText" priority="88" operator="containsText" aboveAverage="0" equalAverage="0" bottom="0" percent="0" rank="0" text="previsto" dxfId="843">
      <formula>NOT(ISERROR(SEARCH("previsto",N48)))</formula>
    </cfRule>
    <cfRule type="containsText" priority="89" operator="containsText" aboveAverage="0" equalAverage="0" bottom="0" percent="0" rank="0" text="produzindo" dxfId="844">
      <formula>NOT(ISERROR(SEARCH("produzindo",N48)))</formula>
    </cfRule>
    <cfRule type="containsText" priority="90" operator="containsText" aboveAverage="0" equalAverage="0" bottom="0" percent="0" rank="0" text="material ok" dxfId="845">
      <formula>NOT(ISERROR(SEARCH("material ok",N48)))</formula>
    </cfRule>
  </conditionalFormatting>
  <conditionalFormatting sqref="N48:N53">
    <cfRule type="containsText" priority="91" operator="containsText" aboveAverage="0" equalAverage="0" bottom="0" percent="0" rank="0" text="a montar" dxfId="846">
      <formula>NOT(ISERROR(SEARCH("a montar",N48)))</formula>
    </cfRule>
  </conditionalFormatting>
  <conditionalFormatting sqref="N37:N38">
    <cfRule type="containsText" priority="92" operator="containsText" aboveAverage="0" equalAverage="0" bottom="0" percent="0" rank="0" text="a montar" dxfId="847">
      <formula>NOT(ISERROR(SEARCH("a montar",N37)))</formula>
    </cfRule>
    <cfRule type="containsText" priority="93" operator="containsText" aboveAverage="0" equalAverage="0" bottom="0" percent="0" rank="0" text="a serrar" dxfId="848">
      <formula>NOT(ISERROR(SEARCH("a serrar",N37)))</formula>
    </cfRule>
    <cfRule type="containsText" priority="94" operator="containsText" aboveAverage="0" equalAverage="0" bottom="0" percent="0" rank="0" text="pronto" dxfId="849">
      <formula>NOT(ISERROR(SEARCH("pronto",N37)))</formula>
    </cfRule>
    <cfRule type="containsText" priority="95" operator="containsText" aboveAverage="0" equalAverage="0" bottom="0" percent="0" rank="0" text="empreita" dxfId="850">
      <formula>NOT(ISERROR(SEARCH("empreita",N37)))</formula>
    </cfRule>
    <cfRule type="containsText" priority="96" operator="containsText" aboveAverage="0" equalAverage="0" bottom="0" percent="0" rank="0" text="previsto" dxfId="851">
      <formula>NOT(ISERROR(SEARCH("previsto",N37)))</formula>
    </cfRule>
    <cfRule type="containsText" priority="97" operator="containsText" aboveAverage="0" equalAverage="0" bottom="0" percent="0" rank="0" text="produzindo" dxfId="852">
      <formula>NOT(ISERROR(SEARCH("produzindo",N37)))</formula>
    </cfRule>
    <cfRule type="containsText" priority="98" operator="containsText" aboveAverage="0" equalAverage="0" bottom="0" percent="0" rank="0" text="material ok" dxfId="853">
      <formula>NOT(ISERROR(SEARCH("material ok",N37)))</formula>
    </cfRule>
  </conditionalFormatting>
  <conditionalFormatting sqref="N27:N28">
    <cfRule type="containsText" priority="99" operator="containsText" aboveAverage="0" equalAverage="0" bottom="0" percent="0" rank="0" text="a montar" dxfId="854">
      <formula>NOT(ISERROR(SEARCH("a montar",N27)))</formula>
    </cfRule>
    <cfRule type="containsText" priority="100" operator="containsText" aboveAverage="0" equalAverage="0" bottom="0" percent="0" rank="0" text="a serrar" dxfId="855">
      <formula>NOT(ISERROR(SEARCH("a serrar",N27)))</formula>
    </cfRule>
    <cfRule type="containsText" priority="101" operator="containsText" aboveAverage="0" equalAverage="0" bottom="0" percent="0" rank="0" text="pronto" dxfId="856">
      <formula>NOT(ISERROR(SEARCH("pronto",N27)))</formula>
    </cfRule>
    <cfRule type="containsText" priority="102" operator="containsText" aboveAverage="0" equalAverage="0" bottom="0" percent="0" rank="0" text="empreita" dxfId="857">
      <formula>NOT(ISERROR(SEARCH("empreita",N27)))</formula>
    </cfRule>
    <cfRule type="containsText" priority="103" operator="containsText" aboveAverage="0" equalAverage="0" bottom="0" percent="0" rank="0" text="previsto" dxfId="858">
      <formula>NOT(ISERROR(SEARCH("previsto",N27)))</formula>
    </cfRule>
    <cfRule type="containsText" priority="104" operator="containsText" aboveAverage="0" equalAverage="0" bottom="0" percent="0" rank="0" text="produzindo" dxfId="859">
      <formula>NOT(ISERROR(SEARCH("produzindo",N27)))</formula>
    </cfRule>
    <cfRule type="containsText" priority="105" operator="containsText" aboveAverage="0" equalAverage="0" bottom="0" percent="0" rank="0" text="material ok" dxfId="860">
      <formula>NOT(ISERROR(SEARCH("material ok",N27)))</formula>
    </cfRule>
  </conditionalFormatting>
  <conditionalFormatting sqref="N1:N19">
    <cfRule type="containsText" priority="106" operator="containsText" aboveAverage="0" equalAverage="0" bottom="0" percent="0" rank="0" text="a montar" dxfId="861">
      <formula>NOT(ISERROR(SEARCH("a montar",N1)))</formula>
    </cfRule>
  </conditionalFormatting>
  <conditionalFormatting sqref="N1:N19 N63:N77">
    <cfRule type="containsText" priority="107" operator="containsText" aboveAverage="0" equalAverage="0" bottom="0" percent="0" rank="0" text="a serrar" dxfId="862">
      <formula>NOT(ISERROR(SEARCH("a serrar",N1)))</formula>
    </cfRule>
    <cfRule type="containsText" priority="108" operator="containsText" aboveAverage="0" equalAverage="0" bottom="0" percent="0" rank="0" text="pronto" dxfId="863">
      <formula>NOT(ISERROR(SEARCH("pronto",N1)))</formula>
    </cfRule>
    <cfRule type="containsText" priority="109" operator="containsText" aboveAverage="0" equalAverage="0" bottom="0" percent="0" rank="0" text="empreita" dxfId="864">
      <formula>NOT(ISERROR(SEARCH("empreita",N1)))</formula>
    </cfRule>
    <cfRule type="containsText" priority="110" operator="containsText" aboveAverage="0" equalAverage="0" bottom="0" percent="0" rank="0" text="previsto" dxfId="865">
      <formula>NOT(ISERROR(SEARCH("previsto",N1)))</formula>
    </cfRule>
    <cfRule type="containsText" priority="111" operator="containsText" aboveAverage="0" equalAverage="0" bottom="0" percent="0" rank="0" text="produzindo" dxfId="866">
      <formula>NOT(ISERROR(SEARCH("produzindo",N1)))</formula>
    </cfRule>
    <cfRule type="containsText" priority="112" operator="containsText" aboveAverage="0" equalAverage="0" bottom="0" percent="0" rank="0" text="material ok" dxfId="867">
      <formula>NOT(ISERROR(SEARCH("material ok",N1)))</formula>
    </cfRule>
  </conditionalFormatting>
  <conditionalFormatting sqref="N21:N22">
    <cfRule type="containsText" priority="113" operator="containsText" aboveAverage="0" equalAverage="0" bottom="0" percent="0" rank="0" text="a montar" dxfId="868">
      <formula>NOT(ISERROR(SEARCH("a montar",N21)))</formula>
    </cfRule>
  </conditionalFormatting>
  <conditionalFormatting sqref="N20:N22">
    <cfRule type="containsText" priority="114" operator="containsText" aboveAverage="0" equalAverage="0" bottom="0" percent="0" rank="0" text="a serrar" dxfId="869">
      <formula>NOT(ISERROR(SEARCH("a serrar",N20)))</formula>
    </cfRule>
    <cfRule type="containsText" priority="115" operator="containsText" aboveAverage="0" equalAverage="0" bottom="0" percent="0" rank="0" text="pronto" dxfId="870">
      <formula>NOT(ISERROR(SEARCH("pronto",N20)))</formula>
    </cfRule>
    <cfRule type="containsText" priority="116" operator="containsText" aboveAverage="0" equalAverage="0" bottom="0" percent="0" rank="0" text="empreita" dxfId="871">
      <formula>NOT(ISERROR(SEARCH("empreita",N20)))</formula>
    </cfRule>
    <cfRule type="containsText" priority="117" operator="containsText" aboveAverage="0" equalAverage="0" bottom="0" percent="0" rank="0" text="previsto" dxfId="872">
      <formula>NOT(ISERROR(SEARCH("previsto",N20)))</formula>
    </cfRule>
    <cfRule type="containsText" priority="118" operator="containsText" aboveAverage="0" equalAverage="0" bottom="0" percent="0" rank="0" text="produzindo" dxfId="873">
      <formula>NOT(ISERROR(SEARCH("produzindo",N20)))</formula>
    </cfRule>
    <cfRule type="containsText" priority="119" operator="containsText" aboveAverage="0" equalAverage="0" bottom="0" percent="0" rank="0" text="material ok" dxfId="874">
      <formula>NOT(ISERROR(SEARCH("material ok",N20)))</formula>
    </cfRule>
  </conditionalFormatting>
  <conditionalFormatting sqref="N24:N25">
    <cfRule type="containsText" priority="120" operator="containsText" aboveAverage="0" equalAverage="0" bottom="0" percent="0" rank="0" text="a montar" dxfId="875">
      <formula>NOT(ISERROR(SEARCH("a montar",N24)))</formula>
    </cfRule>
  </conditionalFormatting>
  <conditionalFormatting sqref="N24:N28">
    <cfRule type="containsText" priority="121" operator="containsText" aboveAverage="0" equalAverage="0" bottom="0" percent="0" rank="0" text="a serrar" dxfId="876">
      <formula>NOT(ISERROR(SEARCH("a serrar",N24)))</formula>
    </cfRule>
    <cfRule type="containsText" priority="122" operator="containsText" aboveAverage="0" equalAverage="0" bottom="0" percent="0" rank="0" text="pronto" dxfId="877">
      <formula>NOT(ISERROR(SEARCH("pronto",N24)))</formula>
    </cfRule>
    <cfRule type="containsText" priority="123" operator="containsText" aboveAverage="0" equalAverage="0" bottom="0" percent="0" rank="0" text="empreita" dxfId="878">
      <formula>NOT(ISERROR(SEARCH("empreita",N24)))</formula>
    </cfRule>
    <cfRule type="containsText" priority="124" operator="containsText" aboveAverage="0" equalAverage="0" bottom="0" percent="0" rank="0" text="previsto" dxfId="879">
      <formula>NOT(ISERROR(SEARCH("previsto",N24)))</formula>
    </cfRule>
    <cfRule type="containsText" priority="125" operator="containsText" aboveAverage="0" equalAverage="0" bottom="0" percent="0" rank="0" text="produzindo" dxfId="880">
      <formula>NOT(ISERROR(SEARCH("produzindo",N24)))</formula>
    </cfRule>
    <cfRule type="containsText" priority="126" operator="containsText" aboveAverage="0" equalAverage="0" bottom="0" percent="0" rank="0" text="material ok" dxfId="881">
      <formula>NOT(ISERROR(SEARCH("material ok",N24)))</formula>
    </cfRule>
  </conditionalFormatting>
  <conditionalFormatting sqref="N5 N7 N10 N13 N16 N18 N113">
    <cfRule type="containsText" priority="127" operator="containsText" aboveAverage="0" equalAverage="0" bottom="0" percent="0" rank="0" text="a serrar" dxfId="882">
      <formula>NOT(ISERROR(SEARCH("a serrar",N5)))</formula>
    </cfRule>
    <cfRule type="containsText" priority="128" operator="containsText" aboveAverage="0" equalAverage="0" bottom="0" percent="0" rank="0" text="pronto" dxfId="883">
      <formula>NOT(ISERROR(SEARCH("pronto",N5)))</formula>
    </cfRule>
    <cfRule type="containsText" priority="129" operator="containsText" aboveAverage="0" equalAverage="0" bottom="0" percent="0" rank="0" text="empreita" dxfId="884">
      <formula>NOT(ISERROR(SEARCH("empreita",N5)))</formula>
    </cfRule>
    <cfRule type="containsText" priority="130" operator="containsText" aboveAverage="0" equalAverage="0" bottom="0" percent="0" rank="0" text="previsto" dxfId="885">
      <formula>NOT(ISERROR(SEARCH("previsto",N5)))</formula>
    </cfRule>
    <cfRule type="containsText" priority="131" operator="containsText" aboveAverage="0" equalAverage="0" bottom="0" percent="0" rank="0" text="produzindo" dxfId="886">
      <formula>NOT(ISERROR(SEARCH("produzindo",N5)))</formula>
    </cfRule>
    <cfRule type="containsText" priority="132" operator="containsText" aboveAverage="0" equalAverage="0" bottom="0" percent="0" rank="0" text="material ok" dxfId="887">
      <formula>NOT(ISERROR(SEARCH("material ok",N5)))</formula>
    </cfRule>
  </conditionalFormatting>
  <conditionalFormatting sqref="N5 N7 N10 N13 N16 N18 N113 N26:N28 N20 N79:N80 N87:N111 N115:N127">
    <cfRule type="containsText" priority="133" operator="containsText" aboveAverage="0" equalAverage="0" bottom="0" percent="0" rank="0" text="a montar" dxfId="888">
      <formula>NOT(ISERROR(SEARCH("a montar",N5)))</formula>
    </cfRule>
  </conditionalFormatting>
  <conditionalFormatting sqref="N30:N41 M1">
    <cfRule type="containsText" priority="134" operator="containsText" aboveAverage="0" equalAverage="0" bottom="0" percent="0" rank="0" text="a montar" dxfId="889">
      <formula>NOT(ISERROR(SEARCH("a montar",M1)))</formula>
    </cfRule>
  </conditionalFormatting>
  <conditionalFormatting sqref="M1 N30:N41">
    <cfRule type="containsText" priority="135" operator="containsText" aboveAverage="0" equalAverage="0" bottom="0" percent="0" rank="0" text="a serrar" dxfId="890">
      <formula>NOT(ISERROR(SEARCH("a serrar",M1)))</formula>
    </cfRule>
    <cfRule type="containsText" priority="136" operator="containsText" aboveAverage="0" equalAverage="0" bottom="0" percent="0" rank="0" text="pronto" dxfId="891">
      <formula>NOT(ISERROR(SEARCH("pronto",M1)))</formula>
    </cfRule>
    <cfRule type="containsText" priority="137" operator="containsText" aboveAverage="0" equalAverage="0" bottom="0" percent="0" rank="0" text="empreita" dxfId="892">
      <formula>NOT(ISERROR(SEARCH("empreita",M1)))</formula>
    </cfRule>
    <cfRule type="containsText" priority="138" operator="containsText" aboveAverage="0" equalAverage="0" bottom="0" percent="0" rank="0" text="previsto" dxfId="893">
      <formula>NOT(ISERROR(SEARCH("previsto",M1)))</formula>
    </cfRule>
    <cfRule type="containsText" priority="139" operator="containsText" aboveAverage="0" equalAverage="0" bottom="0" percent="0" rank="0" text="produzindo" dxfId="894">
      <formula>NOT(ISERROR(SEARCH("produzindo",M1)))</formula>
    </cfRule>
    <cfRule type="containsText" priority="140" operator="containsText" aboveAverage="0" equalAverage="0" bottom="0" percent="0" rank="0" text="material ok" dxfId="895">
      <formula>NOT(ISERROR(SEARCH("material ok",M1)))</formula>
    </cfRule>
  </conditionalFormatting>
  <conditionalFormatting sqref="N30:N41 J1 N82:N85">
    <cfRule type="containsText" priority="141" operator="containsText" aboveAverage="0" equalAverage="0" bottom="0" percent="0" rank="0" text="a montar" dxfId="896">
      <formula>NOT(ISERROR(SEARCH("a montar",J1)))</formula>
    </cfRule>
  </conditionalFormatting>
  <conditionalFormatting sqref="J1 N30:N41 N82:N85 N20 N79:N80 N87:N111 N115:N127 N49">
    <cfRule type="containsText" priority="142" operator="containsText" aboveAverage="0" equalAverage="0" bottom="0" percent="0" rank="0" text="a serrar" dxfId="897">
      <formula>NOT(ISERROR(SEARCH("a serrar",J1)))</formula>
    </cfRule>
  </conditionalFormatting>
  <conditionalFormatting sqref="J1 N20 N30:N41 N49 N79:N80 N82:N85 N87:N111 N115:N127">
    <cfRule type="containsText" priority="143" operator="containsText" aboveAverage="0" equalAverage="0" bottom="0" percent="0" rank="0" text="pronto" dxfId="898">
      <formula>NOT(ISERROR(SEARCH("pronto",J1)))</formula>
    </cfRule>
    <cfRule type="containsText" priority="144" operator="containsText" aboveAverage="0" equalAverage="0" bottom="0" percent="0" rank="0" text="empreita" dxfId="899">
      <formula>NOT(ISERROR(SEARCH("empreita",J1)))</formula>
    </cfRule>
    <cfRule type="containsText" priority="145" operator="containsText" aboveAverage="0" equalAverage="0" bottom="0" percent="0" rank="0" text="previsto" dxfId="900">
      <formula>NOT(ISERROR(SEARCH("previsto",J1)))</formula>
    </cfRule>
    <cfRule type="containsText" priority="146" operator="containsText" aboveAverage="0" equalAverage="0" bottom="0" percent="0" rank="0" text="produzindo" dxfId="901">
      <formula>NOT(ISERROR(SEARCH("produzindo",J1)))</formula>
    </cfRule>
    <cfRule type="containsText" priority="147" operator="containsText" aboveAverage="0" equalAverage="0" bottom="0" percent="0" rank="0" text="material ok" dxfId="902">
      <formula>NOT(ISERROR(SEARCH("material ok",J1)))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7" activeCellId="0" sqref="L17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2" style="0" width="16.72"/>
    <col collapsed="false" customWidth="true" hidden="false" outlineLevel="0" max="3" min="3" style="0" width="28"/>
    <col collapsed="false" customWidth="true" hidden="false" outlineLevel="0" max="4" min="4" style="0" width="7.72"/>
    <col collapsed="false" customWidth="true" hidden="false" outlineLevel="0" max="5" min="5" style="0" width="24.72"/>
    <col collapsed="false" customWidth="true" hidden="false" outlineLevel="0" max="7" min="7" style="0" width="10.43"/>
    <col collapsed="false" customWidth="true" hidden="false" outlineLevel="0" max="8" min="8" style="0" width="11.28"/>
    <col collapsed="false" customWidth="true" hidden="false" outlineLevel="0" max="11" min="11" style="0" width="14.57"/>
    <col collapsed="false" customWidth="true" hidden="false" outlineLevel="0" max="12" min="12" style="0" width="9.14"/>
    <col collapsed="false" customWidth="true" hidden="false" outlineLevel="0" max="13" min="13" style="0" width="13.29"/>
    <col collapsed="false" customWidth="true" hidden="false" outlineLevel="0" max="16" min="15" style="0" width="12.86"/>
    <col collapsed="false" customWidth="true" hidden="false" outlineLevel="0" max="18" min="18" style="0" width="13.29"/>
  </cols>
  <sheetData>
    <row r="1" customFormat="false" ht="16.4" hidden="false" customHeight="false" outlineLevel="0" collapsed="false">
      <c r="A1" s="1"/>
      <c r="C1" s="2"/>
      <c r="D1" s="1"/>
      <c r="F1" s="1"/>
      <c r="G1" s="1"/>
      <c r="H1" s="1"/>
      <c r="I1" s="1"/>
      <c r="J1" s="3" t="s">
        <v>0</v>
      </c>
      <c r="K1" s="4" t="s">
        <v>1</v>
      </c>
      <c r="L1" s="5" t="s">
        <v>2</v>
      </c>
      <c r="M1" s="6" t="s">
        <v>3</v>
      </c>
      <c r="N1" s="3" t="s">
        <v>4</v>
      </c>
      <c r="O1" s="7" t="s">
        <v>5</v>
      </c>
      <c r="P1" s="8" t="s">
        <v>6</v>
      </c>
      <c r="Q1" s="9" t="s">
        <v>3</v>
      </c>
      <c r="R1" s="10"/>
      <c r="S1" s="11"/>
    </row>
    <row r="2" customFormat="false" ht="15" hidden="false" customHeight="false" outlineLevel="0" collapsed="false">
      <c r="A2" s="1"/>
      <c r="C2" s="2"/>
      <c r="D2" s="1"/>
      <c r="F2" s="1"/>
      <c r="G2" s="1"/>
      <c r="H2" s="1"/>
      <c r="I2" s="1"/>
      <c r="J2" s="1"/>
      <c r="K2" s="12"/>
      <c r="L2" s="13"/>
      <c r="M2" s="14"/>
      <c r="N2" s="15"/>
      <c r="O2" s="10"/>
      <c r="P2" s="1"/>
      <c r="Q2" s="11"/>
      <c r="R2" s="10"/>
      <c r="S2" s="11"/>
    </row>
    <row r="3" customFormat="false" ht="16.4" hidden="false" customHeight="false" outlineLevel="0" collapsed="false">
      <c r="A3" s="16" t="s">
        <v>7</v>
      </c>
      <c r="B3" s="16" t="s">
        <v>8</v>
      </c>
      <c r="C3" s="16" t="s">
        <v>9</v>
      </c>
      <c r="D3" s="16"/>
      <c r="E3" s="16" t="s">
        <v>10</v>
      </c>
      <c r="F3" s="16" t="s">
        <v>11</v>
      </c>
      <c r="G3" s="16" t="s">
        <v>12</v>
      </c>
      <c r="H3" s="17" t="s">
        <v>13</v>
      </c>
      <c r="I3" s="16" t="s">
        <v>14</v>
      </c>
      <c r="J3" s="16" t="s">
        <v>15</v>
      </c>
      <c r="K3" s="16" t="s">
        <v>16</v>
      </c>
      <c r="L3" s="18" t="s">
        <v>17</v>
      </c>
      <c r="M3" s="18" t="s">
        <v>18</v>
      </c>
      <c r="N3" s="19" t="s">
        <v>19</v>
      </c>
      <c r="O3" s="18"/>
      <c r="P3" s="16" t="s">
        <v>20</v>
      </c>
      <c r="Q3" s="20"/>
      <c r="R3" s="21"/>
      <c r="S3" s="16" t="s">
        <v>21</v>
      </c>
    </row>
    <row r="5" customFormat="false" ht="16.4" hidden="false" customHeight="false" outlineLevel="0" collapsed="false">
      <c r="A5" s="1" t="n">
        <v>6142</v>
      </c>
      <c r="B5" s="0" t="s">
        <v>159</v>
      </c>
      <c r="C5" s="0" t="s">
        <v>240</v>
      </c>
      <c r="D5" s="1" t="s">
        <v>24</v>
      </c>
      <c r="E5" s="0" t="s">
        <v>243</v>
      </c>
      <c r="F5" s="1" t="n">
        <v>6.23</v>
      </c>
      <c r="G5" s="1" t="n">
        <v>5.75</v>
      </c>
      <c r="H5" s="1" t="n">
        <f aca="false">-((G5*100/F5)-100)</f>
        <v>7.70465489566614</v>
      </c>
      <c r="I5" s="33" t="n">
        <v>268</v>
      </c>
      <c r="J5" s="1" t="n">
        <f aca="false">(F5-G5)*I5</f>
        <v>128.64</v>
      </c>
      <c r="K5" s="1" t="n">
        <f aca="false">G5*I5</f>
        <v>1541</v>
      </c>
      <c r="M5" s="23" t="n">
        <v>7956</v>
      </c>
      <c r="N5" s="3" t="s">
        <v>4</v>
      </c>
      <c r="O5" s="23" t="n">
        <v>7956</v>
      </c>
      <c r="P5" s="0" t="s">
        <v>26</v>
      </c>
      <c r="R5" s="10" t="n">
        <f aca="false">(O5-L5)/G5</f>
        <v>1383.65217391304</v>
      </c>
    </row>
    <row r="6" customFormat="false" ht="16.4" hidden="false" customHeight="false" outlineLevel="0" collapsed="false">
      <c r="A6" s="1" t="n">
        <v>6142</v>
      </c>
      <c r="B6" s="0" t="s">
        <v>159</v>
      </c>
      <c r="C6" s="0" t="s">
        <v>317</v>
      </c>
      <c r="D6" s="1"/>
      <c r="F6" s="1"/>
      <c r="G6" s="1"/>
      <c r="H6" s="1" t="e">
        <f aca="false">-((G6*100/F6)-100)</f>
        <v>#DIV/0!</v>
      </c>
      <c r="I6" s="1"/>
      <c r="J6" s="1" t="n">
        <f aca="false">(F6-G6)*I6</f>
        <v>0</v>
      </c>
      <c r="K6" s="1" t="n">
        <f aca="false">G6*I6</f>
        <v>0</v>
      </c>
      <c r="M6" s="23" t="n">
        <v>1517</v>
      </c>
      <c r="N6" s="3" t="s">
        <v>4</v>
      </c>
      <c r="O6" s="23" t="n">
        <v>1517</v>
      </c>
      <c r="P6" s="0" t="s">
        <v>26</v>
      </c>
      <c r="R6" s="10" t="e">
        <f aca="false">(O6-L6)/G6</f>
        <v>#DIV/0!</v>
      </c>
    </row>
    <row r="7" customFormat="false" ht="15" hidden="false" customHeight="false" outlineLevel="0" collapsed="false">
      <c r="A7" s="1"/>
      <c r="D7" s="1"/>
      <c r="F7" s="1"/>
      <c r="G7" s="1"/>
      <c r="H7" s="1" t="e">
        <f aca="false">-((G7*100/F7)-100)</f>
        <v>#DIV/0!</v>
      </c>
      <c r="I7" s="1"/>
      <c r="J7" s="1" t="n">
        <f aca="false">(F7-G7)*I7</f>
        <v>0</v>
      </c>
      <c r="K7" s="1" t="n">
        <f aca="false">G7*I7</f>
        <v>0</v>
      </c>
      <c r="M7" s="23"/>
      <c r="N7" s="3"/>
      <c r="O7" s="23"/>
      <c r="R7" s="10"/>
    </row>
    <row r="8" customFormat="false" ht="16.4" hidden="false" customHeight="false" outlineLevel="0" collapsed="false">
      <c r="A8" s="1" t="n">
        <v>6106</v>
      </c>
      <c r="B8" s="0" t="s">
        <v>294</v>
      </c>
      <c r="C8" s="0" t="s">
        <v>45</v>
      </c>
      <c r="D8" s="1" t="s">
        <v>24</v>
      </c>
      <c r="E8" s="0" t="s">
        <v>318</v>
      </c>
      <c r="F8" s="1" t="n">
        <v>1.43</v>
      </c>
      <c r="G8" s="1" t="n">
        <v>1.43</v>
      </c>
      <c r="H8" s="1" t="n">
        <f aca="false">-((G8*100/F8)-100)</f>
        <v>-0</v>
      </c>
      <c r="I8" s="33" t="n">
        <v>120</v>
      </c>
      <c r="J8" s="1" t="n">
        <f aca="false">(F8-G8)*I8</f>
        <v>0</v>
      </c>
      <c r="K8" s="1" t="n">
        <f aca="false">G8*I8</f>
        <v>171.6</v>
      </c>
      <c r="M8" s="23" t="n">
        <v>1515</v>
      </c>
      <c r="N8" s="3" t="s">
        <v>4</v>
      </c>
      <c r="O8" s="23" t="n">
        <v>1515</v>
      </c>
      <c r="P8" s="0" t="s">
        <v>29</v>
      </c>
      <c r="R8" s="10" t="n">
        <f aca="false">(O8-L8)/G8</f>
        <v>1059.44055944056</v>
      </c>
    </row>
    <row r="9" customFormat="false" ht="16.4" hidden="false" customHeight="false" outlineLevel="0" collapsed="false">
      <c r="A9" s="1" t="n">
        <v>6106</v>
      </c>
      <c r="B9" s="0" t="s">
        <v>294</v>
      </c>
      <c r="C9" s="0" t="s">
        <v>62</v>
      </c>
      <c r="D9" s="1" t="s">
        <v>24</v>
      </c>
      <c r="E9" s="0" t="s">
        <v>318</v>
      </c>
      <c r="F9" s="1" t="n">
        <v>0.66</v>
      </c>
      <c r="G9" s="1" t="n">
        <v>0.66</v>
      </c>
      <c r="H9" s="1" t="n">
        <f aca="false">-((G9*100/F9)-100)</f>
        <v>-0</v>
      </c>
      <c r="I9" s="33" t="n">
        <v>120</v>
      </c>
      <c r="J9" s="1" t="n">
        <f aca="false">(F9-G9)*I9</f>
        <v>0</v>
      </c>
      <c r="K9" s="1" t="n">
        <f aca="false">G9*I9</f>
        <v>79.2</v>
      </c>
      <c r="M9" s="23" t="n">
        <v>699</v>
      </c>
      <c r="N9" s="3" t="s">
        <v>4</v>
      </c>
      <c r="O9" s="23" t="n">
        <v>699</v>
      </c>
      <c r="P9" s="0" t="s">
        <v>29</v>
      </c>
      <c r="R9" s="10"/>
    </row>
    <row r="10" customFormat="false" ht="15" hidden="false" customHeight="false" outlineLevel="0" collapsed="false">
      <c r="A10" s="1"/>
      <c r="D10" s="1"/>
      <c r="F10" s="1"/>
      <c r="G10" s="1"/>
      <c r="H10" s="1" t="e">
        <f aca="false">-((G10*100/F10)-100)</f>
        <v>#DIV/0!</v>
      </c>
      <c r="I10" s="1"/>
      <c r="J10" s="1" t="n">
        <f aca="false">(F10-G10)*I10</f>
        <v>0</v>
      </c>
      <c r="K10" s="1" t="n">
        <f aca="false">G10*I10</f>
        <v>0</v>
      </c>
      <c r="M10" s="23"/>
      <c r="N10" s="3"/>
      <c r="O10" s="23"/>
      <c r="R10" s="10"/>
    </row>
    <row r="11" customFormat="false" ht="16.4" hidden="false" customHeight="false" outlineLevel="0" collapsed="false">
      <c r="A11" s="1" t="n">
        <v>6173</v>
      </c>
      <c r="B11" s="0" t="s">
        <v>319</v>
      </c>
      <c r="C11" s="0" t="s">
        <v>210</v>
      </c>
      <c r="D11" s="1" t="s">
        <v>37</v>
      </c>
      <c r="E11" s="0" t="s">
        <v>143</v>
      </c>
      <c r="F11" s="1" t="n">
        <v>2.07</v>
      </c>
      <c r="G11" s="1" t="n">
        <v>2.07</v>
      </c>
      <c r="H11" s="1" t="n">
        <f aca="false">-((G11*100/F11)-100)</f>
        <v>-0</v>
      </c>
      <c r="I11" s="33" t="n">
        <v>420</v>
      </c>
      <c r="J11" s="1" t="n">
        <f aca="false">(F11-G11)*I11</f>
        <v>0</v>
      </c>
      <c r="K11" s="1" t="n">
        <f aca="false">G11*I11</f>
        <v>869.4</v>
      </c>
      <c r="M11" s="23" t="n">
        <v>3467</v>
      </c>
      <c r="N11" s="3" t="s">
        <v>4</v>
      </c>
      <c r="O11" s="23" t="n">
        <v>3467</v>
      </c>
      <c r="P11" s="0" t="s">
        <v>26</v>
      </c>
      <c r="R11" s="10" t="n">
        <f aca="false">(O11-L11)/G11</f>
        <v>1674.87922705314</v>
      </c>
    </row>
    <row r="12" customFormat="false" ht="16.4" hidden="false" customHeight="false" outlineLevel="0" collapsed="false">
      <c r="A12" s="1" t="n">
        <v>6173</v>
      </c>
      <c r="B12" s="0" t="s">
        <v>319</v>
      </c>
      <c r="C12" s="0" t="s">
        <v>57</v>
      </c>
      <c r="D12" s="1" t="s">
        <v>37</v>
      </c>
      <c r="E12" s="0" t="s">
        <v>143</v>
      </c>
      <c r="F12" s="1" t="n">
        <v>0.61</v>
      </c>
      <c r="G12" s="1" t="n">
        <v>0.61</v>
      </c>
      <c r="H12" s="1" t="n">
        <f aca="false">-((G12*100/F12)-100)</f>
        <v>-0</v>
      </c>
      <c r="I12" s="33" t="n">
        <v>420</v>
      </c>
      <c r="J12" s="1" t="n">
        <f aca="false">(F12-G12)*I12</f>
        <v>0</v>
      </c>
      <c r="K12" s="1" t="n">
        <f aca="false">G12*I12</f>
        <v>256.2</v>
      </c>
      <c r="M12" s="23" t="n">
        <v>946</v>
      </c>
      <c r="N12" s="3" t="s">
        <v>4</v>
      </c>
      <c r="O12" s="23" t="n">
        <v>946</v>
      </c>
      <c r="P12" s="0" t="s">
        <v>26</v>
      </c>
      <c r="R12" s="10" t="n">
        <f aca="false">(O12-L12)/G12</f>
        <v>1550.81967213115</v>
      </c>
    </row>
    <row r="13" customFormat="false" ht="16.4" hidden="false" customHeight="false" outlineLevel="0" collapsed="false">
      <c r="A13" s="1" t="n">
        <v>6173</v>
      </c>
      <c r="B13" s="0" t="s">
        <v>319</v>
      </c>
      <c r="C13" s="0" t="s">
        <v>320</v>
      </c>
      <c r="E13" s="0" t="s">
        <v>46</v>
      </c>
      <c r="F13" s="1"/>
      <c r="H13" s="1" t="e">
        <f aca="false">-((G13*100/F13)-100)</f>
        <v>#DIV/0!</v>
      </c>
      <c r="I13" s="33" t="n">
        <v>0</v>
      </c>
      <c r="J13" s="1" t="n">
        <f aca="false">(F13-G13)*I13</f>
        <v>0</v>
      </c>
      <c r="K13" s="1" t="n">
        <f aca="false">G13*I13</f>
        <v>0</v>
      </c>
      <c r="M13" s="23" t="n">
        <v>352</v>
      </c>
      <c r="N13" s="3" t="s">
        <v>4</v>
      </c>
      <c r="O13" s="23" t="n">
        <v>352</v>
      </c>
      <c r="P13" s="0" t="s">
        <v>26</v>
      </c>
      <c r="R13" s="10" t="e">
        <f aca="false">(O13-L13)/G13</f>
        <v>#DIV/0!</v>
      </c>
    </row>
    <row r="14" customFormat="false" ht="15" hidden="false" customHeight="false" outlineLevel="0" collapsed="false">
      <c r="A14" s="1"/>
      <c r="D14" s="1"/>
      <c r="F14" s="1"/>
      <c r="G14" s="1"/>
      <c r="H14" s="1" t="e">
        <f aca="false">-((G14*100/F14)-100)</f>
        <v>#DIV/0!</v>
      </c>
      <c r="I14" s="1"/>
      <c r="J14" s="1" t="n">
        <f aca="false">(F14-G14)*I14</f>
        <v>0</v>
      </c>
      <c r="K14" s="1" t="n">
        <f aca="false">G14*I14</f>
        <v>0</v>
      </c>
      <c r="M14" s="23"/>
      <c r="N14" s="3"/>
      <c r="O14" s="23"/>
      <c r="R14" s="10"/>
    </row>
    <row r="15" customFormat="false" ht="16.4" hidden="false" customHeight="false" outlineLevel="0" collapsed="false">
      <c r="A15" s="1" t="n">
        <v>6154</v>
      </c>
      <c r="B15" s="0" t="s">
        <v>278</v>
      </c>
      <c r="C15" s="0" t="s">
        <v>321</v>
      </c>
      <c r="D15" s="1" t="s">
        <v>24</v>
      </c>
      <c r="E15" s="0" t="s">
        <v>243</v>
      </c>
      <c r="F15" s="1" t="n">
        <v>2.07</v>
      </c>
      <c r="G15" s="1" t="n">
        <v>2.07</v>
      </c>
      <c r="H15" s="1" t="n">
        <f aca="false">-((G15*100/F15)-100)</f>
        <v>-0</v>
      </c>
      <c r="I15" s="33" t="n">
        <v>268</v>
      </c>
      <c r="J15" s="1" t="n">
        <f aca="false">(F15-G15)*I15</f>
        <v>0</v>
      </c>
      <c r="K15" s="1" t="n">
        <f aca="false">G15*I15</f>
        <v>554.76</v>
      </c>
      <c r="M15" s="23" t="n">
        <v>2562</v>
      </c>
      <c r="N15" s="3" t="s">
        <v>4</v>
      </c>
      <c r="O15" s="23" t="n">
        <v>2562</v>
      </c>
      <c r="P15" s="0" t="s">
        <v>29</v>
      </c>
      <c r="R15" s="10" t="n">
        <f aca="false">(O15-L15)/G15</f>
        <v>1237.68115942029</v>
      </c>
    </row>
    <row r="16" customFormat="false" ht="16.4" hidden="false" customHeight="false" outlineLevel="0" collapsed="false">
      <c r="A16" s="1" t="n">
        <v>6154</v>
      </c>
      <c r="B16" s="0" t="s">
        <v>278</v>
      </c>
      <c r="C16" s="0" t="s">
        <v>322</v>
      </c>
      <c r="D16" s="1" t="s">
        <v>24</v>
      </c>
      <c r="E16" s="0" t="s">
        <v>243</v>
      </c>
      <c r="F16" s="1" t="n">
        <v>2.31</v>
      </c>
      <c r="G16" s="1" t="n">
        <v>2.31</v>
      </c>
      <c r="H16" s="1" t="n">
        <f aca="false">-((G16*100/F16)-100)</f>
        <v>-0</v>
      </c>
      <c r="I16" s="33" t="n">
        <v>268</v>
      </c>
      <c r="J16" s="1" t="n">
        <f aca="false">(F16-G16)*I16</f>
        <v>0</v>
      </c>
      <c r="K16" s="1" t="n">
        <f aca="false">G16*I16</f>
        <v>619.08</v>
      </c>
      <c r="M16" s="23" t="n">
        <v>2849</v>
      </c>
      <c r="N16" s="3" t="s">
        <v>4</v>
      </c>
      <c r="O16" s="23" t="n">
        <v>2849</v>
      </c>
      <c r="P16" s="0" t="s">
        <v>29</v>
      </c>
      <c r="R16" s="10" t="n">
        <f aca="false">(O16-L16)/G16</f>
        <v>1233.33333333333</v>
      </c>
    </row>
    <row r="17" customFormat="false" ht="15" hidden="false" customHeight="false" outlineLevel="0" collapsed="false">
      <c r="A17" s="1"/>
      <c r="D17" s="1"/>
      <c r="F17" s="1"/>
      <c r="G17" s="1"/>
      <c r="H17" s="1" t="e">
        <f aca="false">-((G17*100/F17)-100)</f>
        <v>#DIV/0!</v>
      </c>
      <c r="I17" s="1"/>
      <c r="J17" s="1" t="n">
        <f aca="false">(F17-G17)*I17</f>
        <v>0</v>
      </c>
      <c r="K17" s="1" t="n">
        <f aca="false">G17*I17</f>
        <v>0</v>
      </c>
      <c r="M17" s="23"/>
      <c r="N17" s="12"/>
      <c r="O17" s="23"/>
      <c r="R17" s="10"/>
    </row>
    <row r="18" customFormat="false" ht="16.4" hidden="false" customHeight="false" outlineLevel="0" collapsed="false">
      <c r="A18" s="1" t="n">
        <v>6165</v>
      </c>
      <c r="B18" s="0" t="s">
        <v>323</v>
      </c>
      <c r="C18" s="0" t="s">
        <v>324</v>
      </c>
      <c r="D18" s="1" t="s">
        <v>37</v>
      </c>
      <c r="E18" s="0" t="s">
        <v>38</v>
      </c>
      <c r="F18" s="1" t="n">
        <v>0.8</v>
      </c>
      <c r="G18" s="1" t="n">
        <v>0.8</v>
      </c>
      <c r="H18" s="1" t="n">
        <f aca="false">-((G18*100/F18)-100)</f>
        <v>-0</v>
      </c>
      <c r="I18" s="33" t="n">
        <v>450</v>
      </c>
      <c r="J18" s="1" t="n">
        <f aca="false">(F18-G18)*I18</f>
        <v>0</v>
      </c>
      <c r="K18" s="1" t="n">
        <f aca="false">G18*I18</f>
        <v>360</v>
      </c>
      <c r="M18" s="22" t="n">
        <v>1128</v>
      </c>
      <c r="N18" s="3" t="s">
        <v>4</v>
      </c>
      <c r="O18" s="23" t="n">
        <v>1128</v>
      </c>
      <c r="P18" s="0" t="s">
        <v>26</v>
      </c>
      <c r="R18" s="10" t="n">
        <f aca="false">(O18-L18)/G18</f>
        <v>1410</v>
      </c>
    </row>
    <row r="19" customFormat="false" ht="16.4" hidden="false" customHeight="false" outlineLevel="0" collapsed="false">
      <c r="A19" s="1" t="n">
        <v>6177</v>
      </c>
      <c r="B19" s="0" t="s">
        <v>323</v>
      </c>
      <c r="C19" s="0" t="s">
        <v>325</v>
      </c>
      <c r="D19" s="1" t="s">
        <v>53</v>
      </c>
      <c r="E19" s="0" t="s">
        <v>68</v>
      </c>
      <c r="F19" s="1" t="n">
        <v>1.38</v>
      </c>
      <c r="G19" s="1" t="n">
        <v>1.38</v>
      </c>
      <c r="H19" s="1" t="n">
        <f aca="false">-((G19*100/F19)-100)</f>
        <v>-0</v>
      </c>
      <c r="I19" s="33" t="n">
        <v>582</v>
      </c>
      <c r="J19" s="1" t="n">
        <f aca="false">(F19-G19)*I19</f>
        <v>0</v>
      </c>
      <c r="K19" s="1" t="n">
        <f aca="false">G19*I19</f>
        <v>803.16</v>
      </c>
      <c r="M19" s="23" t="n">
        <v>2152</v>
      </c>
      <c r="N19" s="3" t="s">
        <v>4</v>
      </c>
      <c r="O19" s="23" t="n">
        <v>2152</v>
      </c>
      <c r="P19" s="0" t="s">
        <v>29</v>
      </c>
      <c r="R19" s="10" t="n">
        <f aca="false">(O19-L19)/G19</f>
        <v>1559.42028985507</v>
      </c>
    </row>
    <row r="20" customFormat="false" ht="15" hidden="false" customHeight="false" outlineLevel="0" collapsed="false">
      <c r="A20" s="1"/>
      <c r="D20" s="1"/>
      <c r="F20" s="1"/>
      <c r="G20" s="1"/>
      <c r="H20" s="1" t="e">
        <f aca="false">-((G20*100/F20)-100)</f>
        <v>#DIV/0!</v>
      </c>
      <c r="I20" s="1"/>
      <c r="J20" s="1" t="n">
        <f aca="false">(F20-G20)*I20</f>
        <v>0</v>
      </c>
      <c r="K20" s="1" t="n">
        <f aca="false">G20*I20</f>
        <v>0</v>
      </c>
      <c r="M20" s="23"/>
      <c r="N20" s="12"/>
      <c r="O20" s="23"/>
      <c r="R20" s="10"/>
    </row>
    <row r="21" customFormat="false" ht="16.4" hidden="false" customHeight="false" outlineLevel="0" collapsed="false">
      <c r="A21" s="1" t="n">
        <v>6174</v>
      </c>
      <c r="B21" s="0" t="s">
        <v>326</v>
      </c>
      <c r="C21" s="0" t="s">
        <v>58</v>
      </c>
      <c r="D21" s="1" t="s">
        <v>37</v>
      </c>
      <c r="E21" s="0" t="s">
        <v>38</v>
      </c>
      <c r="F21" s="1" t="n">
        <v>0.99</v>
      </c>
      <c r="G21" s="1" t="n">
        <v>0.99</v>
      </c>
      <c r="H21" s="1" t="n">
        <f aca="false">-((G21*100/F21)-100)</f>
        <v>-0</v>
      </c>
      <c r="I21" s="33" t="n">
        <v>450</v>
      </c>
      <c r="J21" s="1" t="n">
        <f aca="false">(F21-G21)*I21</f>
        <v>0</v>
      </c>
      <c r="K21" s="1" t="n">
        <f aca="false">G21*I21</f>
        <v>445.5</v>
      </c>
      <c r="M21" s="23" t="n">
        <v>1521</v>
      </c>
      <c r="N21" s="3" t="s">
        <v>4</v>
      </c>
      <c r="O21" s="23" t="n">
        <v>1521</v>
      </c>
      <c r="P21" s="0" t="s">
        <v>26</v>
      </c>
      <c r="R21" s="10" t="n">
        <f aca="false">(O21-L21)/G21</f>
        <v>1536.36363636364</v>
      </c>
    </row>
    <row r="22" customFormat="false" ht="16.4" hidden="false" customHeight="false" outlineLevel="0" collapsed="false">
      <c r="A22" s="1" t="n">
        <v>6174</v>
      </c>
      <c r="B22" s="0" t="s">
        <v>326</v>
      </c>
      <c r="C22" s="0" t="s">
        <v>56</v>
      </c>
      <c r="D22" s="1" t="s">
        <v>37</v>
      </c>
      <c r="E22" s="0" t="s">
        <v>38</v>
      </c>
      <c r="F22" s="1" t="n">
        <v>1.24</v>
      </c>
      <c r="G22" s="1" t="n">
        <v>1.24</v>
      </c>
      <c r="H22" s="1" t="n">
        <f aca="false">-((G22*100/F22)-100)</f>
        <v>-0</v>
      </c>
      <c r="I22" s="33" t="n">
        <v>450</v>
      </c>
      <c r="J22" s="1" t="n">
        <f aca="false">(F22-G22)*I22</f>
        <v>0</v>
      </c>
      <c r="K22" s="1" t="n">
        <f aca="false">G22*I22</f>
        <v>558</v>
      </c>
      <c r="M22" s="23" t="n">
        <v>1905</v>
      </c>
      <c r="N22" s="3" t="s">
        <v>4</v>
      </c>
      <c r="O22" s="23" t="n">
        <v>1905</v>
      </c>
      <c r="P22" s="0" t="s">
        <v>29</v>
      </c>
      <c r="R22" s="10" t="n">
        <f aca="false">(O22-L22)/G22</f>
        <v>1536.29032258065</v>
      </c>
    </row>
    <row r="23" customFormat="false" ht="16.4" hidden="false" customHeight="false" outlineLevel="0" collapsed="false">
      <c r="A23" s="1" t="n">
        <v>6174</v>
      </c>
      <c r="B23" s="0" t="s">
        <v>326</v>
      </c>
      <c r="C23" s="0" t="s">
        <v>224</v>
      </c>
      <c r="D23" s="1" t="s">
        <v>37</v>
      </c>
      <c r="E23" s="0" t="s">
        <v>38</v>
      </c>
      <c r="F23" s="1" t="n">
        <v>0.51</v>
      </c>
      <c r="G23" s="1" t="n">
        <v>0.51</v>
      </c>
      <c r="H23" s="1" t="n">
        <f aca="false">-((G23*100/F23)-100)</f>
        <v>-0</v>
      </c>
      <c r="I23" s="33" t="n">
        <v>450</v>
      </c>
      <c r="J23" s="1" t="n">
        <f aca="false">(F23-G23)*I23</f>
        <v>0</v>
      </c>
      <c r="K23" s="1" t="n">
        <f aca="false">G23*I23</f>
        <v>229.5</v>
      </c>
      <c r="M23" s="23" t="n">
        <v>784</v>
      </c>
      <c r="N23" s="3" t="s">
        <v>4</v>
      </c>
      <c r="O23" s="23" t="n">
        <v>784</v>
      </c>
      <c r="P23" s="0" t="s">
        <v>26</v>
      </c>
      <c r="R23" s="10" t="n">
        <f aca="false">(O23-L23)/G23</f>
        <v>1537.25490196078</v>
      </c>
    </row>
    <row r="24" customFormat="false" ht="16.4" hidden="false" customHeight="false" outlineLevel="0" collapsed="false">
      <c r="A24" s="1" t="n">
        <v>6174</v>
      </c>
      <c r="B24" s="0" t="s">
        <v>326</v>
      </c>
      <c r="C24" s="0" t="s">
        <v>223</v>
      </c>
      <c r="D24" s="1" t="s">
        <v>37</v>
      </c>
      <c r="E24" s="0" t="s">
        <v>38</v>
      </c>
      <c r="F24" s="1" t="n">
        <v>0.58</v>
      </c>
      <c r="G24" s="1" t="n">
        <v>0.58</v>
      </c>
      <c r="H24" s="1" t="n">
        <f aca="false">-((G24*100/F24)-100)</f>
        <v>-0</v>
      </c>
      <c r="I24" s="33" t="n">
        <v>450</v>
      </c>
      <c r="J24" s="1" t="n">
        <f aca="false">(F24-G24)*I24</f>
        <v>0</v>
      </c>
      <c r="K24" s="1" t="n">
        <f aca="false">G24*I24</f>
        <v>261</v>
      </c>
      <c r="M24" s="23" t="n">
        <v>890</v>
      </c>
      <c r="N24" s="3" t="s">
        <v>4</v>
      </c>
      <c r="O24" s="23" t="n">
        <v>890</v>
      </c>
      <c r="P24" s="0" t="s">
        <v>29</v>
      </c>
      <c r="R24" s="10" t="n">
        <f aca="false">(O24-L24)/G24</f>
        <v>1534.48275862069</v>
      </c>
    </row>
    <row r="25" customFormat="false" ht="15" hidden="false" customHeight="false" outlineLevel="0" collapsed="false">
      <c r="A25" s="1"/>
      <c r="D25" s="1"/>
      <c r="F25" s="1"/>
      <c r="G25" s="1"/>
      <c r="H25" s="1" t="e">
        <f aca="false">-((G25*100/F25)-100)</f>
        <v>#DIV/0!</v>
      </c>
      <c r="I25" s="1"/>
      <c r="J25" s="1" t="n">
        <f aca="false">(F25-G25)*I25</f>
        <v>0</v>
      </c>
      <c r="K25" s="1" t="n">
        <f aca="false">G25*I25</f>
        <v>0</v>
      </c>
      <c r="M25" s="23"/>
      <c r="N25" s="3"/>
      <c r="O25" s="23"/>
      <c r="R25" s="10"/>
    </row>
    <row r="26" customFormat="false" ht="16.4" hidden="false" customHeight="false" outlineLevel="0" collapsed="false">
      <c r="A26" s="1" t="n">
        <v>6179</v>
      </c>
      <c r="B26" s="0" t="s">
        <v>327</v>
      </c>
      <c r="C26" s="0" t="s">
        <v>328</v>
      </c>
      <c r="D26" s="1" t="s">
        <v>37</v>
      </c>
      <c r="E26" s="0" t="s">
        <v>143</v>
      </c>
      <c r="F26" s="1" t="n">
        <v>1.18</v>
      </c>
      <c r="G26" s="1" t="n">
        <v>1.02</v>
      </c>
      <c r="H26" s="1" t="n">
        <f aca="false">-((G26*100/F26)-100)</f>
        <v>13.5593220338983</v>
      </c>
      <c r="I26" s="33" t="n">
        <v>420</v>
      </c>
      <c r="J26" s="1" t="n">
        <f aca="false">(F26-G26)*I26</f>
        <v>67.2</v>
      </c>
      <c r="K26" s="1" t="n">
        <f aca="false">G26*I26</f>
        <v>428.4</v>
      </c>
      <c r="M26" s="23" t="n">
        <v>1600</v>
      </c>
      <c r="N26" s="3" t="s">
        <v>4</v>
      </c>
      <c r="O26" s="23" t="n">
        <v>1600</v>
      </c>
      <c r="P26" s="0" t="s">
        <v>26</v>
      </c>
      <c r="R26" s="10" t="n">
        <f aca="false">(O26-L26)/G26</f>
        <v>1568.62745098039</v>
      </c>
    </row>
    <row r="27" customFormat="false" ht="15" hidden="false" customHeight="false" outlineLevel="0" collapsed="false">
      <c r="A27" s="1"/>
      <c r="D27" s="1"/>
      <c r="F27" s="1"/>
      <c r="G27" s="1"/>
      <c r="H27" s="1" t="e">
        <f aca="false">-((G27*100/F27)-100)</f>
        <v>#DIV/0!</v>
      </c>
      <c r="I27" s="1"/>
      <c r="J27" s="1" t="n">
        <f aca="false">(F27-G27)*I27</f>
        <v>0</v>
      </c>
      <c r="K27" s="1" t="n">
        <f aca="false">G27*I27</f>
        <v>0</v>
      </c>
      <c r="M27" s="23"/>
      <c r="N27" s="3"/>
      <c r="O27" s="23"/>
      <c r="R27" s="10"/>
    </row>
    <row r="28" customFormat="false" ht="16.4" hidden="false" customHeight="false" outlineLevel="0" collapsed="false">
      <c r="A28" s="1" t="n">
        <v>6178</v>
      </c>
      <c r="B28" s="0" t="s">
        <v>329</v>
      </c>
      <c r="C28" s="0" t="s">
        <v>189</v>
      </c>
      <c r="D28" s="1" t="s">
        <v>37</v>
      </c>
      <c r="E28" s="0" t="s">
        <v>38</v>
      </c>
      <c r="F28" s="1" t="n">
        <v>1.28</v>
      </c>
      <c r="G28" s="1" t="n">
        <v>1.28</v>
      </c>
      <c r="H28" s="1" t="n">
        <f aca="false">-((G28*100/F28)-100)</f>
        <v>-0</v>
      </c>
      <c r="I28" s="33" t="n">
        <v>450</v>
      </c>
      <c r="J28" s="1" t="n">
        <f aca="false">(F28-G28)*I28</f>
        <v>0</v>
      </c>
      <c r="K28" s="1" t="n">
        <f aca="false">G28*I28</f>
        <v>576</v>
      </c>
      <c r="M28" s="23" t="n">
        <v>1930</v>
      </c>
      <c r="N28" s="3" t="s">
        <v>4</v>
      </c>
      <c r="O28" s="23" t="n">
        <v>1930</v>
      </c>
      <c r="P28" s="0" t="s">
        <v>26</v>
      </c>
      <c r="R28" s="10" t="n">
        <f aca="false">(O28-L28)/G28</f>
        <v>1507.8125</v>
      </c>
    </row>
    <row r="29" customFormat="false" ht="16.4" hidden="false" customHeight="false" outlineLevel="0" collapsed="false">
      <c r="A29" s="1" t="n">
        <v>6178</v>
      </c>
      <c r="B29" s="0" t="s">
        <v>329</v>
      </c>
      <c r="C29" s="0" t="s">
        <v>57</v>
      </c>
      <c r="D29" s="1" t="s">
        <v>37</v>
      </c>
      <c r="E29" s="0" t="s">
        <v>38</v>
      </c>
      <c r="F29" s="1" t="n">
        <v>0.65</v>
      </c>
      <c r="G29" s="1" t="n">
        <v>0.65</v>
      </c>
      <c r="H29" s="1" t="n">
        <f aca="false">-((G29*100/F29)-100)</f>
        <v>-0</v>
      </c>
      <c r="I29" s="33" t="n">
        <v>450</v>
      </c>
      <c r="J29" s="1" t="n">
        <f aca="false">(F29-G29)*I29</f>
        <v>0</v>
      </c>
      <c r="K29" s="1" t="n">
        <f aca="false">G29*I29</f>
        <v>292.5</v>
      </c>
      <c r="M29" s="23" t="n">
        <v>927</v>
      </c>
      <c r="N29" s="3" t="s">
        <v>4</v>
      </c>
      <c r="O29" s="23" t="n">
        <v>927</v>
      </c>
      <c r="P29" s="0" t="s">
        <v>26</v>
      </c>
      <c r="R29" s="10" t="n">
        <f aca="false">(O29-L29)/G29</f>
        <v>1426.15384615385</v>
      </c>
    </row>
    <row r="30" customFormat="false" ht="16.4" hidden="false" customHeight="false" outlineLevel="0" collapsed="false">
      <c r="A30" s="1" t="n">
        <v>6178</v>
      </c>
      <c r="B30" s="0" t="s">
        <v>329</v>
      </c>
      <c r="C30" s="0" t="s">
        <v>42</v>
      </c>
      <c r="D30" s="1" t="s">
        <v>24</v>
      </c>
      <c r="E30" s="0" t="s">
        <v>35</v>
      </c>
      <c r="F30" s="1" t="n">
        <v>0.94</v>
      </c>
      <c r="G30" s="1" t="n">
        <v>0.94</v>
      </c>
      <c r="H30" s="1" t="n">
        <f aca="false">-((G30*100/F30)-100)</f>
        <v>-0</v>
      </c>
      <c r="I30" s="33" t="n">
        <v>284</v>
      </c>
      <c r="J30" s="1" t="n">
        <f aca="false">(F30-G30)*I30</f>
        <v>0</v>
      </c>
      <c r="K30" s="1" t="n">
        <f aca="false">G30*I30</f>
        <v>266.96</v>
      </c>
      <c r="M30" s="23" t="n">
        <v>1108</v>
      </c>
      <c r="N30" s="3" t="s">
        <v>4</v>
      </c>
      <c r="O30" s="23" t="n">
        <v>1108</v>
      </c>
      <c r="P30" s="0" t="s">
        <v>29</v>
      </c>
      <c r="R30" s="10" t="n">
        <f aca="false">(O30-L30)/G30</f>
        <v>1178.72340425532</v>
      </c>
    </row>
    <row r="31" customFormat="false" ht="15" hidden="false" customHeight="false" outlineLevel="0" collapsed="false">
      <c r="A31" s="1"/>
      <c r="D31" s="1"/>
      <c r="F31" s="1"/>
      <c r="G31" s="1"/>
      <c r="H31" s="1" t="e">
        <f aca="false">-((G31*100/F31)-100)</f>
        <v>#DIV/0!</v>
      </c>
      <c r="J31" s="1" t="n">
        <f aca="false">(F31-G31)*I31</f>
        <v>0</v>
      </c>
      <c r="K31" s="1" t="n">
        <f aca="false">G31*I31</f>
        <v>0</v>
      </c>
      <c r="M31" s="23"/>
      <c r="N31" s="3"/>
      <c r="O31" s="23"/>
      <c r="R31" s="10"/>
    </row>
    <row r="32" customFormat="false" ht="16.4" hidden="false" customHeight="false" outlineLevel="0" collapsed="false">
      <c r="A32" s="1" t="n">
        <v>6176</v>
      </c>
      <c r="B32" s="0" t="s">
        <v>330</v>
      </c>
      <c r="C32" s="0" t="s">
        <v>55</v>
      </c>
      <c r="D32" s="1" t="s">
        <v>24</v>
      </c>
      <c r="E32" s="0" t="s">
        <v>331</v>
      </c>
      <c r="F32" s="1" t="n">
        <v>5.77</v>
      </c>
      <c r="G32" s="1" t="n">
        <v>5.56</v>
      </c>
      <c r="H32" s="1" t="n">
        <f aca="false">-((G32*100/F32)-100)</f>
        <v>3.63951473136915</v>
      </c>
      <c r="I32" s="33" t="n">
        <v>160</v>
      </c>
      <c r="J32" s="1" t="n">
        <f aca="false">(F32-G32)*I32</f>
        <v>33.6</v>
      </c>
      <c r="K32" s="1" t="n">
        <f aca="false">G32*I32</f>
        <v>889.6</v>
      </c>
      <c r="M32" s="23" t="n">
        <v>6057</v>
      </c>
      <c r="N32" s="3" t="s">
        <v>4</v>
      </c>
      <c r="O32" s="23" t="n">
        <v>6057</v>
      </c>
      <c r="P32" s="0" t="s">
        <v>26</v>
      </c>
      <c r="R32" s="10" t="n">
        <f aca="false">(O32-L32)/G32</f>
        <v>1089.38848920863</v>
      </c>
    </row>
    <row r="33" customFormat="false" ht="16.4" hidden="false" customHeight="false" outlineLevel="0" collapsed="false">
      <c r="A33" s="1" t="n">
        <v>6176</v>
      </c>
      <c r="B33" s="0" t="s">
        <v>330</v>
      </c>
      <c r="C33" s="0" t="s">
        <v>62</v>
      </c>
      <c r="E33" s="0" t="s">
        <v>46</v>
      </c>
      <c r="F33" s="1" t="n">
        <v>1.97</v>
      </c>
      <c r="G33" s="1" t="n">
        <v>0</v>
      </c>
      <c r="H33" s="1" t="n">
        <f aca="false">-((G33*100/F33)-100)</f>
        <v>100</v>
      </c>
      <c r="I33" s="33" t="n">
        <v>0</v>
      </c>
      <c r="J33" s="1" t="n">
        <f aca="false">(F33-G33)*I33</f>
        <v>0</v>
      </c>
      <c r="K33" s="1" t="n">
        <f aca="false">G33*I33</f>
        <v>0</v>
      </c>
      <c r="M33" s="23" t="n">
        <v>943</v>
      </c>
      <c r="N33" s="3" t="s">
        <v>4</v>
      </c>
      <c r="O33" s="23" t="n">
        <v>943</v>
      </c>
      <c r="P33" s="0" t="s">
        <v>26</v>
      </c>
      <c r="R33" s="10" t="e">
        <f aca="false">(O33-L33)/G33</f>
        <v>#DIV/0!</v>
      </c>
    </row>
    <row r="34" customFormat="false" ht="15" hidden="false" customHeight="false" outlineLevel="0" collapsed="false">
      <c r="A34" s="1"/>
      <c r="D34" s="1"/>
      <c r="F34" s="1"/>
      <c r="H34" s="1" t="e">
        <f aca="false">-((G34*100/F34)-100)</f>
        <v>#DIV/0!</v>
      </c>
      <c r="J34" s="1" t="n">
        <f aca="false">(F34-G34)*I34</f>
        <v>0</v>
      </c>
      <c r="K34" s="1" t="n">
        <f aca="false">G34*I34</f>
        <v>0</v>
      </c>
      <c r="M34" s="23"/>
      <c r="N34" s="3"/>
      <c r="O34" s="23"/>
      <c r="R34" s="10"/>
    </row>
    <row r="35" customFormat="false" ht="16.4" hidden="false" customHeight="false" outlineLevel="0" collapsed="false">
      <c r="A35" s="1" t="n">
        <v>6142</v>
      </c>
      <c r="B35" s="0" t="s">
        <v>159</v>
      </c>
      <c r="C35" s="0" t="s">
        <v>332</v>
      </c>
      <c r="D35" s="1" t="s">
        <v>37</v>
      </c>
      <c r="E35" s="0" t="s">
        <v>38</v>
      </c>
      <c r="F35" s="1" t="n">
        <v>1.59</v>
      </c>
      <c r="G35" s="1" t="n">
        <v>1.59</v>
      </c>
      <c r="H35" s="1" t="n">
        <f aca="false">-((G35*100/F35)-100)</f>
        <v>-0</v>
      </c>
      <c r="I35" s="33" t="n">
        <v>450</v>
      </c>
      <c r="J35" s="1" t="n">
        <f aca="false">(F35-G35)*I35</f>
        <v>0</v>
      </c>
      <c r="K35" s="1" t="n">
        <f aca="false">G35*I35</f>
        <v>715.5</v>
      </c>
      <c r="M35" s="23" t="n">
        <v>2420</v>
      </c>
      <c r="N35" s="3" t="s">
        <v>4</v>
      </c>
      <c r="O35" s="23" t="n">
        <v>2420</v>
      </c>
      <c r="P35" s="0" t="s">
        <v>29</v>
      </c>
      <c r="R35" s="10" t="n">
        <f aca="false">(O35-L35)/G35</f>
        <v>1522.01257861635</v>
      </c>
    </row>
    <row r="36" customFormat="false" ht="16.4" hidden="false" customHeight="false" outlineLevel="0" collapsed="false">
      <c r="A36" s="1" t="n">
        <v>6142</v>
      </c>
      <c r="B36" s="0" t="s">
        <v>159</v>
      </c>
      <c r="C36" s="0" t="s">
        <v>333</v>
      </c>
      <c r="D36" s="1" t="s">
        <v>37</v>
      </c>
      <c r="E36" s="0" t="s">
        <v>38</v>
      </c>
      <c r="F36" s="1" t="n">
        <v>1.79</v>
      </c>
      <c r="G36" s="1" t="n">
        <v>1.79</v>
      </c>
      <c r="H36" s="1" t="n">
        <f aca="false">-((G36*100/F36)-100)</f>
        <v>-0</v>
      </c>
      <c r="I36" s="33" t="n">
        <v>450</v>
      </c>
      <c r="J36" s="1" t="n">
        <f aca="false">(F36-G36)*I36</f>
        <v>0</v>
      </c>
      <c r="K36" s="1" t="n">
        <f aca="false">G36*I36</f>
        <v>805.5</v>
      </c>
      <c r="M36" s="23" t="n">
        <v>2723</v>
      </c>
      <c r="N36" s="3" t="s">
        <v>4</v>
      </c>
      <c r="O36" s="23" t="n">
        <v>2723</v>
      </c>
      <c r="P36" s="0" t="s">
        <v>29</v>
      </c>
      <c r="R36" s="10" t="n">
        <f aca="false">(O36-L36)/G36</f>
        <v>1521.22905027933</v>
      </c>
    </row>
    <row r="37" customFormat="false" ht="16.4" hidden="false" customHeight="false" outlineLevel="0" collapsed="false">
      <c r="A37" s="1" t="n">
        <v>6142</v>
      </c>
      <c r="B37" s="0" t="s">
        <v>159</v>
      </c>
      <c r="C37" s="0" t="s">
        <v>334</v>
      </c>
      <c r="D37" s="1" t="s">
        <v>37</v>
      </c>
      <c r="E37" s="0" t="s">
        <v>38</v>
      </c>
      <c r="F37" s="1" t="n">
        <v>2.44</v>
      </c>
      <c r="G37" s="1" t="n">
        <v>2.44</v>
      </c>
      <c r="H37" s="1" t="n">
        <f aca="false">-((G37*100/F37)-100)</f>
        <v>-0</v>
      </c>
      <c r="I37" s="33" t="n">
        <v>450</v>
      </c>
      <c r="J37" s="1" t="n">
        <f aca="false">(F37-G37)*I37</f>
        <v>0</v>
      </c>
      <c r="K37" s="1" t="n">
        <f aca="false">G37*I37</f>
        <v>1098</v>
      </c>
      <c r="M37" s="23" t="n">
        <v>3712</v>
      </c>
      <c r="N37" s="3" t="s">
        <v>4</v>
      </c>
      <c r="O37" s="23" t="n">
        <v>3712</v>
      </c>
      <c r="P37" s="0" t="s">
        <v>26</v>
      </c>
      <c r="R37" s="10" t="n">
        <f aca="false">(O37-L37)/G37</f>
        <v>1521.31147540984</v>
      </c>
    </row>
    <row r="38" customFormat="false" ht="15" hidden="false" customHeight="false" outlineLevel="0" collapsed="false">
      <c r="H38" s="1" t="e">
        <f aca="false">-((G38*100/F38)-100)</f>
        <v>#DIV/0!</v>
      </c>
      <c r="J38" s="1" t="n">
        <f aca="false">(F38-G38)*I38</f>
        <v>0</v>
      </c>
      <c r="K38" s="1" t="n">
        <f aca="false">G38*I38</f>
        <v>0</v>
      </c>
    </row>
    <row r="39" customFormat="false" ht="16.4" hidden="false" customHeight="false" outlineLevel="0" collapsed="false">
      <c r="A39" s="1" t="n">
        <v>6178</v>
      </c>
      <c r="B39" s="0" t="s">
        <v>329</v>
      </c>
      <c r="C39" s="0" t="s">
        <v>55</v>
      </c>
      <c r="D39" s="1"/>
      <c r="E39" s="0" t="s">
        <v>46</v>
      </c>
      <c r="F39" s="1" t="n">
        <v>0.31</v>
      </c>
      <c r="G39" s="1" t="n">
        <v>0</v>
      </c>
      <c r="H39" s="1" t="n">
        <f aca="false">-((G39*100/F39)-100)</f>
        <v>100</v>
      </c>
      <c r="I39" s="33" t="n">
        <v>0</v>
      </c>
      <c r="J39" s="1" t="n">
        <f aca="false">(F39-G39)*I39</f>
        <v>0</v>
      </c>
      <c r="K39" s="1" t="n">
        <f aca="false">G39*I39</f>
        <v>0</v>
      </c>
      <c r="M39" s="23" t="n">
        <v>314</v>
      </c>
      <c r="N39" s="3" t="s">
        <v>4</v>
      </c>
      <c r="O39" s="23" t="n">
        <v>314</v>
      </c>
      <c r="P39" s="0" t="s">
        <v>29</v>
      </c>
      <c r="R39" s="10" t="e">
        <f aca="false">(O39-L39)/G39</f>
        <v>#DIV/0!</v>
      </c>
    </row>
    <row r="40" customFormat="false" ht="15" hidden="false" customHeight="false" outlineLevel="0" collapsed="false">
      <c r="G40" s="1"/>
      <c r="H40" s="1" t="e">
        <f aca="false">-((G40*100/F40)-100)</f>
        <v>#DIV/0!</v>
      </c>
      <c r="J40" s="1" t="n">
        <f aca="false">(F40-G40)*I40</f>
        <v>0</v>
      </c>
      <c r="K40" s="1" t="n">
        <f aca="false">G40*I40</f>
        <v>0</v>
      </c>
    </row>
    <row r="41" customFormat="false" ht="16.4" hidden="false" customHeight="false" outlineLevel="0" collapsed="false">
      <c r="A41" s="1" t="n">
        <v>6142</v>
      </c>
      <c r="B41" s="0" t="s">
        <v>159</v>
      </c>
      <c r="C41" s="0" t="s">
        <v>55</v>
      </c>
      <c r="D41" s="1" t="s">
        <v>37</v>
      </c>
      <c r="E41" s="0" t="s">
        <v>335</v>
      </c>
      <c r="F41" s="1" t="n">
        <v>14.06</v>
      </c>
      <c r="G41" s="1" t="n">
        <v>14.06</v>
      </c>
      <c r="H41" s="1" t="n">
        <f aca="false">-((G41*100/F41)-100)</f>
        <v>-0</v>
      </c>
      <c r="I41" s="33" t="n">
        <v>1116</v>
      </c>
      <c r="J41" s="1" t="n">
        <f aca="false">(F41-G41)*I41</f>
        <v>0</v>
      </c>
      <c r="K41" s="1" t="n">
        <f aca="false">G41*I41</f>
        <v>15690.96</v>
      </c>
      <c r="M41" s="23" t="n">
        <v>39894.5</v>
      </c>
      <c r="N41" s="3" t="s">
        <v>4</v>
      </c>
      <c r="O41" s="23" t="n">
        <v>39894.5</v>
      </c>
      <c r="P41" s="0" t="s">
        <v>26</v>
      </c>
      <c r="R41" s="10" t="n">
        <f aca="false">(O41-L41)/G41</f>
        <v>2837.4466571835</v>
      </c>
    </row>
    <row r="42" customFormat="false" ht="16.4" hidden="false" customHeight="false" outlineLevel="0" collapsed="false">
      <c r="A42" s="1" t="n">
        <v>6142</v>
      </c>
      <c r="B42" s="0" t="s">
        <v>159</v>
      </c>
      <c r="C42" s="0" t="s">
        <v>55</v>
      </c>
      <c r="D42" s="1" t="s">
        <v>37</v>
      </c>
      <c r="E42" s="0" t="s">
        <v>335</v>
      </c>
      <c r="F42" s="1" t="n">
        <v>14.06</v>
      </c>
      <c r="G42" s="1" t="n">
        <v>14.06</v>
      </c>
      <c r="H42" s="1" t="n">
        <f aca="false">-((G42*100/F42)-100)</f>
        <v>-0</v>
      </c>
      <c r="I42" s="33" t="n">
        <v>1116</v>
      </c>
      <c r="J42" s="1" t="n">
        <f aca="false">(F42-G42)*I42</f>
        <v>0</v>
      </c>
      <c r="K42" s="1" t="n">
        <f aca="false">G42*I42</f>
        <v>15690.96</v>
      </c>
      <c r="M42" s="23" t="n">
        <v>39894.5</v>
      </c>
      <c r="N42" s="3" t="s">
        <v>4</v>
      </c>
      <c r="O42" s="23" t="n">
        <v>39894.5</v>
      </c>
      <c r="P42" s="0" t="s">
        <v>29</v>
      </c>
      <c r="R42" s="10"/>
    </row>
    <row r="43" customFormat="false" ht="15" hidden="false" customHeight="false" outlineLevel="0" collapsed="false">
      <c r="G43" s="1"/>
      <c r="H43" s="1" t="e">
        <f aca="false">-((G43*100/F43)-100)</f>
        <v>#DIV/0!</v>
      </c>
      <c r="J43" s="1" t="n">
        <f aca="false">(F43-G43)*I43</f>
        <v>0</v>
      </c>
      <c r="K43" s="1" t="n">
        <f aca="false">G43*I43</f>
        <v>0</v>
      </c>
    </row>
    <row r="44" customFormat="false" ht="16.4" hidden="false" customHeight="false" outlineLevel="0" collapsed="false">
      <c r="A44" s="1" t="n">
        <v>6171</v>
      </c>
      <c r="B44" s="0" t="s">
        <v>336</v>
      </c>
      <c r="C44" s="0" t="s">
        <v>30</v>
      </c>
      <c r="D44" s="1" t="s">
        <v>53</v>
      </c>
      <c r="E44" s="0" t="s">
        <v>337</v>
      </c>
      <c r="F44" s="1" t="n">
        <v>0.76</v>
      </c>
      <c r="G44" s="1" t="n">
        <v>0.76</v>
      </c>
      <c r="H44" s="1" t="n">
        <f aca="false">-((G44*100/F44)-100)</f>
        <v>-0</v>
      </c>
      <c r="I44" s="33" t="n">
        <v>595</v>
      </c>
      <c r="J44" s="1" t="n">
        <f aca="false">(F44-G44)*I44</f>
        <v>0</v>
      </c>
      <c r="K44" s="1" t="n">
        <f aca="false">G44*I44</f>
        <v>452.2</v>
      </c>
      <c r="M44" s="23" t="n">
        <v>1295</v>
      </c>
      <c r="N44" s="3" t="s">
        <v>4</v>
      </c>
      <c r="O44" s="23" t="n">
        <v>1295</v>
      </c>
      <c r="P44" s="0" t="s">
        <v>26</v>
      </c>
      <c r="R44" s="10" t="n">
        <f aca="false">(O44-L44)/G44</f>
        <v>1703.94736842105</v>
      </c>
    </row>
    <row r="45" customFormat="false" ht="16.4" hidden="false" customHeight="false" outlineLevel="0" collapsed="false">
      <c r="A45" s="1" t="n">
        <v>6171</v>
      </c>
      <c r="B45" s="0" t="s">
        <v>336</v>
      </c>
      <c r="C45" s="0" t="s">
        <v>338</v>
      </c>
      <c r="D45" s="1" t="s">
        <v>53</v>
      </c>
      <c r="E45" s="0" t="s">
        <v>337</v>
      </c>
      <c r="F45" s="1" t="n">
        <v>2.65</v>
      </c>
      <c r="G45" s="1" t="n">
        <v>2.65</v>
      </c>
      <c r="H45" s="1" t="n">
        <f aca="false">-((G45*100/F45)-100)</f>
        <v>-0</v>
      </c>
      <c r="I45" s="33" t="n">
        <v>595</v>
      </c>
      <c r="J45" s="1" t="n">
        <f aca="false">(F45-G45)*I45</f>
        <v>0</v>
      </c>
      <c r="K45" s="1" t="n">
        <f aca="false">G45*I45</f>
        <v>1576.75</v>
      </c>
      <c r="M45" s="23" t="n">
        <v>4726</v>
      </c>
      <c r="N45" s="3" t="s">
        <v>4</v>
      </c>
      <c r="O45" s="23" t="n">
        <v>4726</v>
      </c>
      <c r="P45" s="0" t="s">
        <v>26</v>
      </c>
      <c r="R45" s="10" t="n">
        <f aca="false">(O45-L45)/G45</f>
        <v>1783.39622641509</v>
      </c>
    </row>
    <row r="46" customFormat="false" ht="15" hidden="false" customHeight="false" outlineLevel="0" collapsed="false">
      <c r="H46" s="1" t="e">
        <f aca="false">-((G46*100/F46)-100)</f>
        <v>#DIV/0!</v>
      </c>
      <c r="J46" s="1" t="n">
        <f aca="false">(F46-G46)*I46</f>
        <v>0</v>
      </c>
      <c r="K46" s="1" t="n">
        <f aca="false">G46*I46</f>
        <v>0</v>
      </c>
    </row>
    <row r="47" customFormat="false" ht="16.4" hidden="false" customHeight="false" outlineLevel="0" collapsed="false">
      <c r="A47" s="1" t="n">
        <v>6156</v>
      </c>
      <c r="B47" s="0" t="s">
        <v>44</v>
      </c>
      <c r="C47" s="0" t="s">
        <v>189</v>
      </c>
      <c r="D47" s="1"/>
      <c r="E47" s="0" t="s">
        <v>46</v>
      </c>
      <c r="F47" s="1" t="n">
        <v>14.77</v>
      </c>
      <c r="G47" s="1" t="n">
        <v>0</v>
      </c>
      <c r="H47" s="1" t="n">
        <f aca="false">-((G47*100/F47)-100)</f>
        <v>100</v>
      </c>
      <c r="I47" s="33" t="n">
        <v>0</v>
      </c>
      <c r="J47" s="1" t="n">
        <f aca="false">(F47-G47)*I47</f>
        <v>0</v>
      </c>
      <c r="K47" s="1" t="n">
        <f aca="false">G47*I47</f>
        <v>0</v>
      </c>
      <c r="M47" s="23" t="n">
        <v>11832.5</v>
      </c>
      <c r="N47" s="3" t="s">
        <v>4</v>
      </c>
      <c r="O47" s="23" t="n">
        <v>11832.5</v>
      </c>
      <c r="P47" s="0" t="s">
        <v>26</v>
      </c>
      <c r="R47" s="10" t="e">
        <f aca="false">(O47-L47)/G47</f>
        <v>#DIV/0!</v>
      </c>
    </row>
    <row r="48" customFormat="false" ht="16.4" hidden="false" customHeight="false" outlineLevel="0" collapsed="false">
      <c r="A48" s="1" t="n">
        <v>6156</v>
      </c>
      <c r="B48" s="0" t="s">
        <v>44</v>
      </c>
      <c r="C48" s="0" t="s">
        <v>189</v>
      </c>
      <c r="D48" s="1"/>
      <c r="E48" s="0" t="s">
        <v>46</v>
      </c>
      <c r="F48" s="1" t="n">
        <v>14.78</v>
      </c>
      <c r="G48" s="1" t="n">
        <v>0</v>
      </c>
      <c r="H48" s="1" t="n">
        <f aca="false">-((G48*100/F48)-100)</f>
        <v>100</v>
      </c>
      <c r="I48" s="33" t="n">
        <v>0</v>
      </c>
      <c r="J48" s="1" t="n">
        <f aca="false">(F48-G48)*I48</f>
        <v>0</v>
      </c>
      <c r="K48" s="1" t="n">
        <f aca="false">G48*I48</f>
        <v>0</v>
      </c>
      <c r="M48" s="23" t="n">
        <v>11832.5</v>
      </c>
      <c r="N48" s="3" t="s">
        <v>4</v>
      </c>
      <c r="O48" s="23" t="n">
        <v>11832.5</v>
      </c>
      <c r="P48" s="0" t="s">
        <v>29</v>
      </c>
      <c r="R48" s="10"/>
    </row>
    <row r="49" customFormat="false" ht="15" hidden="false" customHeight="false" outlineLevel="0" collapsed="false">
      <c r="H49" s="1" t="e">
        <f aca="false">-((G49*100/F49)-100)</f>
        <v>#DIV/0!</v>
      </c>
      <c r="J49" s="1" t="n">
        <f aca="false">(F49-G49)*I49</f>
        <v>0</v>
      </c>
      <c r="K49" s="1" t="n">
        <f aca="false">G49*I49</f>
        <v>0</v>
      </c>
    </row>
    <row r="50" customFormat="false" ht="16.4" hidden="false" customHeight="false" outlineLevel="0" collapsed="false">
      <c r="A50" s="1" t="n">
        <v>6175</v>
      </c>
      <c r="B50" s="0" t="s">
        <v>152</v>
      </c>
      <c r="C50" s="0" t="s">
        <v>339</v>
      </c>
      <c r="D50" s="1" t="s">
        <v>24</v>
      </c>
      <c r="E50" s="0" t="s">
        <v>28</v>
      </c>
      <c r="F50" s="1" t="n">
        <v>0.1</v>
      </c>
      <c r="G50" s="1" t="n">
        <v>0.1</v>
      </c>
      <c r="H50" s="1" t="n">
        <f aca="false">-((G50*100/F50)-100)</f>
        <v>-0</v>
      </c>
      <c r="I50" s="54" t="n">
        <v>228</v>
      </c>
      <c r="J50" s="1" t="n">
        <f aca="false">(F50-G50)*I50</f>
        <v>0</v>
      </c>
      <c r="K50" s="1" t="n">
        <f aca="false">G50*I50</f>
        <v>22.8</v>
      </c>
      <c r="M50" s="23" t="n">
        <v>100</v>
      </c>
      <c r="N50" s="3" t="s">
        <v>4</v>
      </c>
      <c r="O50" s="23" t="n">
        <v>100</v>
      </c>
      <c r="P50" s="0" t="s">
        <v>26</v>
      </c>
      <c r="R50" s="10" t="n">
        <f aca="false">(O50-L50)/G50</f>
        <v>1000</v>
      </c>
    </row>
    <row r="51" customFormat="false" ht="16.4" hidden="false" customHeight="false" outlineLevel="0" collapsed="false">
      <c r="A51" s="1" t="n">
        <v>6175</v>
      </c>
      <c r="B51" s="0" t="s">
        <v>152</v>
      </c>
      <c r="C51" s="0" t="s">
        <v>339</v>
      </c>
      <c r="D51" s="1" t="s">
        <v>53</v>
      </c>
      <c r="E51" s="0" t="s">
        <v>340</v>
      </c>
      <c r="F51" s="1" t="n">
        <v>0.14</v>
      </c>
      <c r="G51" s="1" t="n">
        <v>0.14</v>
      </c>
      <c r="H51" s="1" t="n">
        <f aca="false">-((G51*100/F51)-100)</f>
        <v>-0</v>
      </c>
      <c r="I51" s="33" t="n">
        <v>164</v>
      </c>
      <c r="J51" s="1" t="n">
        <f aca="false">(F51-G51)*I51</f>
        <v>0</v>
      </c>
      <c r="K51" s="1" t="n">
        <f aca="false">G51*I51</f>
        <v>22.96</v>
      </c>
      <c r="M51" s="23" t="n">
        <v>101</v>
      </c>
      <c r="N51" s="3" t="s">
        <v>4</v>
      </c>
      <c r="O51" s="23" t="n">
        <v>101</v>
      </c>
      <c r="P51" s="0" t="s">
        <v>26</v>
      </c>
      <c r="R51" s="10" t="n">
        <f aca="false">(O51-L51)/G51</f>
        <v>721.428571428571</v>
      </c>
    </row>
    <row r="52" customFormat="false" ht="16.4" hidden="false" customHeight="false" outlineLevel="0" collapsed="false">
      <c r="A52" s="1" t="n">
        <v>6175</v>
      </c>
      <c r="B52" s="0" t="s">
        <v>152</v>
      </c>
      <c r="C52" s="0" t="s">
        <v>341</v>
      </c>
      <c r="D52" s="1" t="s">
        <v>24</v>
      </c>
      <c r="E52" s="0" t="s">
        <v>243</v>
      </c>
      <c r="F52" s="1" t="n">
        <v>0.49</v>
      </c>
      <c r="G52" s="1" t="n">
        <v>0.49</v>
      </c>
      <c r="H52" s="1" t="n">
        <f aca="false">-((G52*100/F52)-100)</f>
        <v>-0</v>
      </c>
      <c r="I52" s="54" t="n">
        <v>268</v>
      </c>
      <c r="J52" s="1" t="n">
        <f aca="false">(F52-G52)*I52</f>
        <v>0</v>
      </c>
      <c r="K52" s="1" t="n">
        <f aca="false">G52*I52</f>
        <v>131.32</v>
      </c>
      <c r="M52" s="23" t="n">
        <v>410</v>
      </c>
      <c r="N52" s="3" t="s">
        <v>4</v>
      </c>
      <c r="O52" s="23" t="n">
        <v>410</v>
      </c>
      <c r="P52" s="0" t="s">
        <v>26</v>
      </c>
      <c r="R52" s="10" t="n">
        <f aca="false">(O52-L52)/G52</f>
        <v>836.734693877551</v>
      </c>
    </row>
    <row r="53" customFormat="false" ht="16.4" hidden="false" customHeight="false" outlineLevel="0" collapsed="false">
      <c r="A53" s="1" t="n">
        <v>6175</v>
      </c>
      <c r="B53" s="0" t="s">
        <v>152</v>
      </c>
      <c r="C53" s="0" t="s">
        <v>99</v>
      </c>
      <c r="D53" s="1" t="s">
        <v>53</v>
      </c>
      <c r="E53" s="0" t="s">
        <v>342</v>
      </c>
      <c r="F53" s="1" t="n">
        <v>5.35</v>
      </c>
      <c r="G53" s="1" t="n">
        <v>5.35</v>
      </c>
      <c r="H53" s="1" t="n">
        <f aca="false">-((G53*100/F53)-100)</f>
        <v>-0</v>
      </c>
      <c r="I53" s="33" t="n">
        <v>230</v>
      </c>
      <c r="J53" s="1" t="n">
        <f aca="false">(F53-G53)*I53</f>
        <v>0</v>
      </c>
      <c r="K53" s="1" t="n">
        <f aca="false">G53*I53</f>
        <v>1230.5</v>
      </c>
      <c r="M53" s="23" t="n">
        <v>4390</v>
      </c>
      <c r="N53" s="3" t="s">
        <v>4</v>
      </c>
      <c r="O53" s="23" t="n">
        <v>4390</v>
      </c>
      <c r="P53" s="0" t="s">
        <v>26</v>
      </c>
      <c r="R53" s="10" t="n">
        <f aca="false">(O53-L53)/G53</f>
        <v>820.560747663551</v>
      </c>
    </row>
    <row r="54" customFormat="false" ht="16.4" hidden="false" customHeight="false" outlineLevel="0" collapsed="false">
      <c r="A54" s="1" t="n">
        <v>6175</v>
      </c>
      <c r="B54" s="0" t="s">
        <v>152</v>
      </c>
      <c r="C54" s="0" t="s">
        <v>343</v>
      </c>
      <c r="D54" s="1" t="s">
        <v>53</v>
      </c>
      <c r="E54" s="0" t="s">
        <v>342</v>
      </c>
      <c r="F54" s="1" t="n">
        <v>1.67</v>
      </c>
      <c r="G54" s="1" t="n">
        <v>1.67</v>
      </c>
      <c r="H54" s="1" t="n">
        <f aca="false">-((G54*100/F54)-100)</f>
        <v>-0</v>
      </c>
      <c r="I54" s="33" t="n">
        <v>230</v>
      </c>
      <c r="J54" s="1" t="n">
        <f aca="false">(F54-G54)*I54</f>
        <v>0</v>
      </c>
      <c r="K54" s="1" t="n">
        <f aca="false">G54*I54</f>
        <v>384.1</v>
      </c>
      <c r="M54" s="23" t="n">
        <v>1370</v>
      </c>
      <c r="N54" s="3" t="s">
        <v>4</v>
      </c>
      <c r="O54" s="23" t="n">
        <v>1370</v>
      </c>
      <c r="P54" s="0" t="s">
        <v>26</v>
      </c>
      <c r="R54" s="10" t="n">
        <f aca="false">(O54-L54)/G54</f>
        <v>820.359281437126</v>
      </c>
    </row>
    <row r="55" customFormat="false" ht="15" hidden="false" customHeight="false" outlineLevel="0" collapsed="false">
      <c r="G55" s="1"/>
      <c r="H55" s="1" t="e">
        <f aca="false">-((G55*100/F55)-100)</f>
        <v>#DIV/0!</v>
      </c>
      <c r="J55" s="1" t="n">
        <f aca="false">(F55-G55)*I55</f>
        <v>0</v>
      </c>
      <c r="K55" s="1" t="n">
        <f aca="false">G55*I55</f>
        <v>0</v>
      </c>
    </row>
    <row r="56" customFormat="false" ht="16.4" hidden="false" customHeight="false" outlineLevel="0" collapsed="false">
      <c r="A56" s="1" t="n">
        <v>6180</v>
      </c>
      <c r="B56" s="0" t="s">
        <v>270</v>
      </c>
      <c r="C56" s="0" t="s">
        <v>97</v>
      </c>
      <c r="D56" s="1" t="s">
        <v>24</v>
      </c>
      <c r="E56" s="0" t="s">
        <v>344</v>
      </c>
      <c r="F56" s="1" t="n">
        <v>1.01</v>
      </c>
      <c r="G56" s="1" t="n">
        <v>1.01</v>
      </c>
      <c r="H56" s="1" t="n">
        <f aca="false">-((G56*100/F56)-100)</f>
        <v>-0</v>
      </c>
      <c r="I56" s="33" t="n">
        <v>329</v>
      </c>
      <c r="J56" s="1" t="n">
        <f aca="false">(F56-G56)*I56</f>
        <v>0</v>
      </c>
      <c r="K56" s="1" t="n">
        <f aca="false">G56*I56</f>
        <v>332.29</v>
      </c>
      <c r="M56" s="23" t="n">
        <v>1273</v>
      </c>
      <c r="N56" s="3" t="s">
        <v>4</v>
      </c>
      <c r="O56" s="23" t="n">
        <v>1273</v>
      </c>
      <c r="P56" s="0" t="s">
        <v>26</v>
      </c>
      <c r="R56" s="10" t="n">
        <f aca="false">(O56-L56)/G56</f>
        <v>1260.39603960396</v>
      </c>
    </row>
    <row r="57" customFormat="false" ht="16.4" hidden="false" customHeight="false" outlineLevel="0" collapsed="false">
      <c r="A57" s="1" t="n">
        <v>6180</v>
      </c>
      <c r="B57" s="0" t="s">
        <v>270</v>
      </c>
      <c r="C57" s="0" t="s">
        <v>98</v>
      </c>
      <c r="D57" s="1" t="s">
        <v>24</v>
      </c>
      <c r="E57" s="0" t="s">
        <v>344</v>
      </c>
      <c r="F57" s="1" t="n">
        <v>0.92</v>
      </c>
      <c r="G57" s="1" t="n">
        <v>0.92</v>
      </c>
      <c r="H57" s="1" t="n">
        <f aca="false">-((G57*100/F57)-100)</f>
        <v>-0</v>
      </c>
      <c r="I57" s="33" t="n">
        <v>329</v>
      </c>
      <c r="J57" s="1" t="n">
        <f aca="false">(F57-G57)*I57</f>
        <v>0</v>
      </c>
      <c r="K57" s="1" t="n">
        <f aca="false">G57*I57</f>
        <v>302.68</v>
      </c>
      <c r="M57" s="23" t="n">
        <v>1160</v>
      </c>
      <c r="N57" s="3" t="s">
        <v>4</v>
      </c>
      <c r="O57" s="23" t="n">
        <v>1160</v>
      </c>
      <c r="P57" s="0" t="s">
        <v>26</v>
      </c>
      <c r="R57" s="10" t="n">
        <f aca="false">(O57-L57)/G57</f>
        <v>1260.86956521739</v>
      </c>
    </row>
    <row r="58" customFormat="false" ht="15" hidden="false" customHeight="false" outlineLevel="0" collapsed="false">
      <c r="G58" s="1"/>
      <c r="H58" s="1" t="e">
        <f aca="false">-((G58*100/F58)-100)</f>
        <v>#DIV/0!</v>
      </c>
      <c r="J58" s="1" t="n">
        <f aca="false">(F58-G58)*I58</f>
        <v>0</v>
      </c>
      <c r="K58" s="1" t="n">
        <f aca="false">G58*I58</f>
        <v>0</v>
      </c>
    </row>
    <row r="59" customFormat="false" ht="16.4" hidden="false" customHeight="false" outlineLevel="0" collapsed="false">
      <c r="A59" s="1" t="n">
        <v>6183</v>
      </c>
      <c r="B59" s="0" t="s">
        <v>275</v>
      </c>
      <c r="C59" s="0" t="s">
        <v>62</v>
      </c>
      <c r="D59" s="1" t="s">
        <v>24</v>
      </c>
      <c r="E59" s="0" t="s">
        <v>243</v>
      </c>
      <c r="F59" s="1" t="n">
        <v>1.13</v>
      </c>
      <c r="G59" s="1" t="n">
        <v>1.13</v>
      </c>
      <c r="H59" s="1" t="n">
        <f aca="false">-((G59*100/F59)-100)</f>
        <v>-0</v>
      </c>
      <c r="I59" s="33" t="n">
        <v>268</v>
      </c>
      <c r="J59" s="1" t="n">
        <f aca="false">(F59-G59)*I59</f>
        <v>0</v>
      </c>
      <c r="K59" s="1" t="n">
        <f aca="false">G59*I59</f>
        <v>302.84</v>
      </c>
      <c r="M59" s="23" t="n">
        <v>1569</v>
      </c>
      <c r="N59" s="3" t="s">
        <v>4</v>
      </c>
      <c r="O59" s="23" t="n">
        <v>1569</v>
      </c>
      <c r="P59" s="0" t="s">
        <v>26</v>
      </c>
      <c r="R59" s="10" t="n">
        <f aca="false">(O59-L59)/G59</f>
        <v>1388.49557522124</v>
      </c>
    </row>
    <row r="60" customFormat="false" ht="16.4" hidden="false" customHeight="false" outlineLevel="0" collapsed="false">
      <c r="A60" s="1" t="n">
        <v>6183</v>
      </c>
      <c r="B60" s="0" t="s">
        <v>275</v>
      </c>
      <c r="C60" s="0" t="s">
        <v>345</v>
      </c>
      <c r="D60" s="1" t="s">
        <v>53</v>
      </c>
      <c r="E60" s="0" t="s">
        <v>68</v>
      </c>
      <c r="F60" s="1" t="n">
        <v>0.15</v>
      </c>
      <c r="G60" s="1" t="n">
        <v>0.15</v>
      </c>
      <c r="H60" s="1" t="n">
        <f aca="false">-((G60*100/F60)-100)</f>
        <v>-0</v>
      </c>
      <c r="I60" s="33" t="n">
        <v>582</v>
      </c>
      <c r="J60" s="1" t="n">
        <f aca="false">(F60-G60)*I60</f>
        <v>0</v>
      </c>
      <c r="K60" s="1" t="n">
        <f aca="false">G60*I60</f>
        <v>87.3</v>
      </c>
      <c r="M60" s="23" t="n">
        <v>195</v>
      </c>
      <c r="N60" s="3" t="s">
        <v>4</v>
      </c>
      <c r="O60" s="23" t="n">
        <v>195</v>
      </c>
      <c r="P60" s="0" t="s">
        <v>26</v>
      </c>
      <c r="R60" s="10" t="n">
        <f aca="false">(O60-L60)/G60</f>
        <v>1300</v>
      </c>
    </row>
    <row r="61" customFormat="false" ht="16.4" hidden="false" customHeight="false" outlineLevel="0" collapsed="false">
      <c r="A61" s="1" t="n">
        <v>6183</v>
      </c>
      <c r="B61" s="0" t="s">
        <v>275</v>
      </c>
      <c r="C61" s="0" t="s">
        <v>328</v>
      </c>
      <c r="D61" s="1" t="s">
        <v>37</v>
      </c>
      <c r="E61" s="0" t="s">
        <v>346</v>
      </c>
      <c r="F61" s="1" t="n">
        <v>0.6</v>
      </c>
      <c r="G61" s="1" t="n">
        <v>0.6</v>
      </c>
      <c r="H61" s="1" t="n">
        <f aca="false">-((G61*100/F61)-100)</f>
        <v>-0</v>
      </c>
      <c r="I61" s="33" t="n">
        <v>450</v>
      </c>
      <c r="J61" s="1" t="n">
        <f aca="false">(F61-G61)*I61</f>
        <v>0</v>
      </c>
      <c r="K61" s="1" t="n">
        <f aca="false">G61*I61</f>
        <v>270</v>
      </c>
      <c r="M61" s="23" t="n">
        <v>636</v>
      </c>
      <c r="N61" s="3" t="s">
        <v>4</v>
      </c>
      <c r="O61" s="23" t="n">
        <v>636</v>
      </c>
      <c r="P61" s="0" t="s">
        <v>26</v>
      </c>
      <c r="R61" s="10" t="n">
        <f aca="false">(O61-L61)/G61</f>
        <v>1060</v>
      </c>
    </row>
    <row r="62" customFormat="false" ht="15" hidden="false" customHeight="false" outlineLevel="0" collapsed="false">
      <c r="G62" s="1"/>
      <c r="H62" s="1" t="e">
        <f aca="false">-((G62*100/F62)-100)</f>
        <v>#DIV/0!</v>
      </c>
      <c r="J62" s="1" t="n">
        <f aca="false">(F62-G62)*I62</f>
        <v>0</v>
      </c>
      <c r="K62" s="1" t="n">
        <f aca="false">G62*I62</f>
        <v>0</v>
      </c>
    </row>
    <row r="63" customFormat="false" ht="16.4" hidden="false" customHeight="false" outlineLevel="0" collapsed="false">
      <c r="A63" s="1" t="n">
        <v>6166</v>
      </c>
      <c r="B63" s="0" t="s">
        <v>33</v>
      </c>
      <c r="C63" s="0" t="s">
        <v>34</v>
      </c>
      <c r="D63" s="1" t="s">
        <v>24</v>
      </c>
      <c r="E63" s="0" t="s">
        <v>35</v>
      </c>
      <c r="F63" s="1" t="n">
        <v>0.98</v>
      </c>
      <c r="G63" s="1" t="n">
        <v>0.98</v>
      </c>
      <c r="H63" s="1" t="n">
        <f aca="false">-((G63*100/F63)-100)</f>
        <v>-0</v>
      </c>
      <c r="I63" s="33" t="n">
        <v>284</v>
      </c>
      <c r="J63" s="1" t="n">
        <f aca="false">(F63-G63)*I63</f>
        <v>0</v>
      </c>
      <c r="K63" s="1" t="n">
        <f aca="false">G63*I63</f>
        <v>278.32</v>
      </c>
      <c r="M63" s="23" t="n">
        <v>997</v>
      </c>
      <c r="N63" s="3" t="s">
        <v>4</v>
      </c>
      <c r="O63" s="23" t="n">
        <v>997</v>
      </c>
      <c r="P63" s="0" t="s">
        <v>26</v>
      </c>
      <c r="R63" s="10" t="n">
        <f aca="false">(O63-L63)/G63</f>
        <v>1017.34693877551</v>
      </c>
    </row>
    <row r="64" customFormat="false" ht="15" hidden="false" customHeight="false" outlineLevel="0" collapsed="false">
      <c r="H64" s="1" t="e">
        <f aca="false">-((G64*100/F64)-100)</f>
        <v>#DIV/0!</v>
      </c>
      <c r="J64" s="1" t="n">
        <f aca="false">(F64-G64)*I64</f>
        <v>0</v>
      </c>
      <c r="K64" s="1" t="n">
        <f aca="false">G64*I64</f>
        <v>0</v>
      </c>
    </row>
    <row r="65" customFormat="false" ht="16.4" hidden="false" customHeight="false" outlineLevel="0" collapsed="false">
      <c r="A65" s="1" t="n">
        <v>6181</v>
      </c>
      <c r="B65" s="0" t="s">
        <v>109</v>
      </c>
      <c r="C65" s="0" t="s">
        <v>51</v>
      </c>
      <c r="D65" s="1" t="s">
        <v>24</v>
      </c>
      <c r="E65" s="0" t="s">
        <v>28</v>
      </c>
      <c r="F65" s="1" t="n">
        <v>0.14</v>
      </c>
      <c r="G65" s="1" t="n">
        <v>0.14</v>
      </c>
      <c r="H65" s="1" t="n">
        <f aca="false">-((G65*100/F65)-100)</f>
        <v>-0</v>
      </c>
      <c r="I65" s="33" t="n">
        <v>228</v>
      </c>
      <c r="J65" s="1" t="n">
        <f aca="false">(F65-G65)*I65</f>
        <v>0</v>
      </c>
      <c r="K65" s="1" t="n">
        <f aca="false">G65*I65</f>
        <v>31.92</v>
      </c>
      <c r="M65" s="23" t="n">
        <v>125</v>
      </c>
      <c r="N65" s="3" t="s">
        <v>4</v>
      </c>
      <c r="O65" s="23" t="n">
        <v>125</v>
      </c>
      <c r="P65" s="0" t="s">
        <v>29</v>
      </c>
      <c r="R65" s="10" t="n">
        <f aca="false">(O65-L65)/G65</f>
        <v>892.857142857143</v>
      </c>
    </row>
    <row r="66" customFormat="false" ht="15" hidden="false" customHeight="false" outlineLevel="0" collapsed="false">
      <c r="H66" s="1" t="e">
        <f aca="false">-((G66*100/F66)-100)</f>
        <v>#DIV/0!</v>
      </c>
      <c r="J66" s="1" t="n">
        <f aca="false">(F66-G66)*I66</f>
        <v>0</v>
      </c>
      <c r="K66" s="1" t="n">
        <f aca="false">G66*I66</f>
        <v>0</v>
      </c>
    </row>
    <row r="67" customFormat="false" ht="16.4" hidden="false" customHeight="false" outlineLevel="0" collapsed="false">
      <c r="A67" s="1" t="n">
        <v>6185</v>
      </c>
      <c r="B67" s="0" t="s">
        <v>347</v>
      </c>
      <c r="C67" s="0" t="s">
        <v>348</v>
      </c>
      <c r="D67" s="1" t="s">
        <v>53</v>
      </c>
      <c r="E67" s="0" t="s">
        <v>349</v>
      </c>
      <c r="F67" s="1" t="n">
        <v>0.83</v>
      </c>
      <c r="G67" s="1" t="n">
        <v>0.83</v>
      </c>
      <c r="H67" s="1" t="n">
        <f aca="false">-((G67*100/F67)-100)</f>
        <v>-0</v>
      </c>
      <c r="I67" s="33" t="n">
        <v>582</v>
      </c>
      <c r="J67" s="1" t="n">
        <f aca="false">(F67-G67)*I67</f>
        <v>0</v>
      </c>
      <c r="K67" s="1" t="n">
        <f aca="false">G67*I67</f>
        <v>483.06</v>
      </c>
      <c r="M67" s="23" t="n">
        <v>1252</v>
      </c>
      <c r="N67" s="3" t="s">
        <v>4</v>
      </c>
      <c r="O67" s="23" t="n">
        <v>1252</v>
      </c>
      <c r="P67" s="0" t="s">
        <v>29</v>
      </c>
      <c r="R67" s="10" t="n">
        <f aca="false">(O67-L67)/G67</f>
        <v>1508.43373493976</v>
      </c>
    </row>
    <row r="68" customFormat="false" ht="16.4" hidden="false" customHeight="false" outlineLevel="0" collapsed="false">
      <c r="A68" s="1" t="n">
        <v>6185</v>
      </c>
      <c r="B68" s="0" t="s">
        <v>347</v>
      </c>
      <c r="C68" s="0" t="s">
        <v>350</v>
      </c>
      <c r="D68" s="1" t="s">
        <v>53</v>
      </c>
      <c r="E68" s="0" t="s">
        <v>349</v>
      </c>
      <c r="F68" s="1" t="n">
        <v>0.94</v>
      </c>
      <c r="G68" s="1" t="n">
        <v>0.94</v>
      </c>
      <c r="H68" s="1" t="n">
        <f aca="false">-((G68*100/F68)-100)</f>
        <v>-0</v>
      </c>
      <c r="I68" s="33" t="n">
        <v>582</v>
      </c>
      <c r="J68" s="1" t="n">
        <f aca="false">(F68-G68)*I68</f>
        <v>0</v>
      </c>
      <c r="K68" s="1" t="n">
        <f aca="false">G68*I68</f>
        <v>547.08</v>
      </c>
      <c r="M68" s="23" t="n">
        <v>1430</v>
      </c>
      <c r="N68" s="3" t="s">
        <v>4</v>
      </c>
      <c r="O68" s="23" t="n">
        <v>1430</v>
      </c>
      <c r="P68" s="0" t="s">
        <v>29</v>
      </c>
      <c r="R68" s="10" t="n">
        <f aca="false">(O68-L68)/G68</f>
        <v>1521.27659574468</v>
      </c>
    </row>
    <row r="69" customFormat="false" ht="16.4" hidden="false" customHeight="false" outlineLevel="0" collapsed="false">
      <c r="A69" s="1" t="n">
        <v>6185</v>
      </c>
      <c r="B69" s="0" t="s">
        <v>347</v>
      </c>
      <c r="C69" s="0" t="s">
        <v>55</v>
      </c>
      <c r="D69" s="1" t="s">
        <v>53</v>
      </c>
      <c r="E69" s="0" t="s">
        <v>349</v>
      </c>
      <c r="F69" s="1" t="n">
        <v>5.51</v>
      </c>
      <c r="G69" s="1" t="n">
        <v>5.51</v>
      </c>
      <c r="H69" s="1" t="n">
        <f aca="false">-((G69*100/F69)-100)</f>
        <v>-0</v>
      </c>
      <c r="I69" s="33" t="n">
        <v>582</v>
      </c>
      <c r="J69" s="1" t="n">
        <f aca="false">(F69-G69)*I69</f>
        <v>0</v>
      </c>
      <c r="K69" s="1" t="n">
        <f aca="false">G69*I69</f>
        <v>3206.82</v>
      </c>
      <c r="M69" s="23" t="n">
        <v>8360</v>
      </c>
      <c r="N69" s="3" t="s">
        <v>4</v>
      </c>
      <c r="O69" s="23" t="n">
        <v>8360</v>
      </c>
      <c r="P69" s="0" t="s">
        <v>29</v>
      </c>
      <c r="R69" s="10" t="n">
        <f aca="false">(O69-L69)/G69</f>
        <v>1517.24137931034</v>
      </c>
    </row>
    <row r="70" customFormat="false" ht="16.4" hidden="false" customHeight="false" outlineLevel="0" collapsed="false">
      <c r="A70" s="1" t="n">
        <v>6185</v>
      </c>
      <c r="B70" s="0" t="s">
        <v>347</v>
      </c>
      <c r="C70" s="0" t="s">
        <v>351</v>
      </c>
      <c r="D70" s="1" t="s">
        <v>53</v>
      </c>
      <c r="E70" s="0" t="s">
        <v>349</v>
      </c>
      <c r="F70" s="1" t="n">
        <v>0.75</v>
      </c>
      <c r="G70" s="1" t="n">
        <v>0.75</v>
      </c>
      <c r="H70" s="1" t="n">
        <f aca="false">-((G70*100/F70)-100)</f>
        <v>-0</v>
      </c>
      <c r="I70" s="33" t="n">
        <v>582</v>
      </c>
      <c r="J70" s="1" t="n">
        <f aca="false">(F70-G70)*I70</f>
        <v>0</v>
      </c>
      <c r="K70" s="1" t="n">
        <f aca="false">G70*I70</f>
        <v>436.5</v>
      </c>
      <c r="M70" s="23" t="n">
        <v>1130</v>
      </c>
      <c r="N70" s="3" t="s">
        <v>4</v>
      </c>
      <c r="O70" s="23" t="n">
        <v>1130</v>
      </c>
      <c r="P70" s="0" t="s">
        <v>29</v>
      </c>
      <c r="R70" s="10" t="n">
        <f aca="false">(O70-L70)/G70</f>
        <v>1506.66666666667</v>
      </c>
    </row>
    <row r="71" customFormat="false" ht="15" hidden="false" customHeight="false" outlineLevel="0" collapsed="false">
      <c r="G71" s="1"/>
      <c r="H71" s="1" t="e">
        <f aca="false">-((G71*100/F71)-100)</f>
        <v>#DIV/0!</v>
      </c>
      <c r="J71" s="1" t="n">
        <f aca="false">(F71-G71)*I71</f>
        <v>0</v>
      </c>
      <c r="K71" s="1" t="n">
        <f aca="false">G71*I71</f>
        <v>0</v>
      </c>
    </row>
    <row r="72" customFormat="false" ht="16.4" hidden="false" customHeight="false" outlineLevel="0" collapsed="false">
      <c r="A72" s="1" t="n">
        <v>6175</v>
      </c>
      <c r="B72" s="0" t="s">
        <v>152</v>
      </c>
      <c r="C72" s="0" t="s">
        <v>352</v>
      </c>
      <c r="D72" s="1" t="s">
        <v>53</v>
      </c>
      <c r="E72" s="0" t="s">
        <v>342</v>
      </c>
      <c r="F72" s="1" t="n">
        <v>0.71</v>
      </c>
      <c r="G72" s="1" t="n">
        <v>0.71</v>
      </c>
      <c r="H72" s="1" t="n">
        <f aca="false">-((G72*100/F72)-100)</f>
        <v>-0</v>
      </c>
      <c r="I72" s="33" t="n">
        <v>230</v>
      </c>
      <c r="J72" s="1" t="n">
        <f aca="false">(F72-G72)*I72</f>
        <v>0</v>
      </c>
      <c r="K72" s="1" t="n">
        <f aca="false">G72*I72</f>
        <v>163.3</v>
      </c>
      <c r="M72" s="23" t="n">
        <v>582</v>
      </c>
      <c r="N72" s="3" t="s">
        <v>4</v>
      </c>
      <c r="O72" s="23" t="n">
        <v>582</v>
      </c>
      <c r="P72" s="0" t="s">
        <v>26</v>
      </c>
      <c r="R72" s="10" t="n">
        <f aca="false">(O72-L72)/G72</f>
        <v>819.718309859155</v>
      </c>
    </row>
    <row r="73" customFormat="false" ht="15" hidden="false" customHeight="false" outlineLevel="0" collapsed="false">
      <c r="G73" s="1"/>
      <c r="H73" s="1" t="e">
        <f aca="false">-((G73*100/F73)-100)</f>
        <v>#DIV/0!</v>
      </c>
      <c r="J73" s="1" t="n">
        <f aca="false">(F73-G73)*I73</f>
        <v>0</v>
      </c>
      <c r="K73" s="1" t="n">
        <f aca="false">G73*I73</f>
        <v>0</v>
      </c>
    </row>
    <row r="74" customFormat="false" ht="16.4" hidden="false" customHeight="false" outlineLevel="0" collapsed="false">
      <c r="A74" s="1" t="n">
        <v>6175</v>
      </c>
      <c r="B74" s="0" t="s">
        <v>152</v>
      </c>
      <c r="C74" s="0" t="s">
        <v>51</v>
      </c>
      <c r="D74" s="1" t="s">
        <v>53</v>
      </c>
      <c r="E74" s="0" t="s">
        <v>342</v>
      </c>
      <c r="F74" s="1" t="n">
        <v>1.7</v>
      </c>
      <c r="G74" s="1" t="n">
        <v>1.7</v>
      </c>
      <c r="H74" s="1" t="n">
        <f aca="false">-((G74*100/F74)-100)</f>
        <v>-0</v>
      </c>
      <c r="I74" s="33" t="n">
        <v>230</v>
      </c>
      <c r="J74" s="1" t="n">
        <f aca="false">(F74-G74)*I74</f>
        <v>0</v>
      </c>
      <c r="K74" s="1" t="n">
        <f aca="false">G74*I74</f>
        <v>391</v>
      </c>
      <c r="M74" s="23" t="n">
        <v>1986</v>
      </c>
      <c r="N74" s="3" t="s">
        <v>4</v>
      </c>
      <c r="O74" s="23" t="n">
        <v>1986</v>
      </c>
      <c r="P74" s="0" t="s">
        <v>26</v>
      </c>
      <c r="R74" s="10" t="n">
        <f aca="false">(O74-L74)/G74</f>
        <v>1168.23529411765</v>
      </c>
    </row>
    <row r="75" customFormat="false" ht="16.4" hidden="false" customHeight="false" outlineLevel="0" collapsed="false">
      <c r="A75" s="1" t="n">
        <v>6175</v>
      </c>
      <c r="B75" s="0" t="s">
        <v>152</v>
      </c>
      <c r="C75" s="0" t="s">
        <v>242</v>
      </c>
      <c r="D75" s="1" t="s">
        <v>24</v>
      </c>
      <c r="E75" s="0" t="s">
        <v>28</v>
      </c>
      <c r="F75" s="1" t="n">
        <v>1.19</v>
      </c>
      <c r="G75" s="1" t="n">
        <v>1.19</v>
      </c>
      <c r="H75" s="1" t="n">
        <f aca="false">-((G75*100/F75)-100)</f>
        <v>-0</v>
      </c>
      <c r="I75" s="33" t="n">
        <v>228</v>
      </c>
      <c r="J75" s="1" t="n">
        <f aca="false">(F75-G75)*I75</f>
        <v>0</v>
      </c>
      <c r="K75" s="1" t="n">
        <f aca="false">G75*I75</f>
        <v>271.32</v>
      </c>
      <c r="M75" s="23" t="n">
        <v>997</v>
      </c>
      <c r="N75" s="3" t="s">
        <v>4</v>
      </c>
      <c r="O75" s="23" t="n">
        <v>997</v>
      </c>
      <c r="P75" s="0" t="s">
        <v>26</v>
      </c>
      <c r="R75" s="10" t="n">
        <f aca="false">(O75-L75)/G75</f>
        <v>837.81512605042</v>
      </c>
    </row>
    <row r="76" customFormat="false" ht="15" hidden="false" customHeight="false" outlineLevel="0" collapsed="false">
      <c r="A76" s="1"/>
      <c r="D76" s="1"/>
      <c r="F76" s="1"/>
      <c r="H76" s="1"/>
      <c r="J76" s="1"/>
      <c r="K76" s="1"/>
      <c r="M76" s="23"/>
      <c r="N76" s="3"/>
      <c r="O76" s="23"/>
      <c r="R76" s="10"/>
    </row>
    <row r="77" customFormat="false" ht="15" hidden="false" customHeight="false" outlineLevel="0" collapsed="false">
      <c r="A77" s="1"/>
      <c r="D77" s="1"/>
      <c r="F77" s="1"/>
      <c r="H77" s="1"/>
      <c r="J77" s="1"/>
      <c r="K77" s="1"/>
      <c r="M77" s="23"/>
      <c r="N77" s="3"/>
      <c r="O77" s="23"/>
      <c r="R77" s="10"/>
    </row>
    <row r="78" customFormat="false" ht="15" hidden="false" customHeight="false" outlineLevel="0" collapsed="false">
      <c r="A78" s="1"/>
      <c r="D78" s="1"/>
      <c r="F78" s="1" t="n">
        <v>124.19</v>
      </c>
      <c r="G78" s="1" t="n">
        <v>91.51</v>
      </c>
      <c r="H78" s="1"/>
      <c r="J78" s="1" t="n">
        <v>229.44</v>
      </c>
      <c r="K78" s="1" t="n">
        <v>54125.08</v>
      </c>
      <c r="M78" s="23" t="n">
        <v>189515</v>
      </c>
      <c r="N78" s="3"/>
      <c r="O78" s="23"/>
      <c r="R78" s="10"/>
    </row>
    <row r="79" customFormat="false" ht="15" hidden="false" customHeight="false" outlineLevel="0" collapsed="false">
      <c r="A79" s="1"/>
      <c r="D79" s="1"/>
      <c r="F79" s="1"/>
      <c r="H79" s="1"/>
      <c r="J79" s="1"/>
      <c r="M79" s="23"/>
      <c r="N79" s="3"/>
      <c r="O79" s="23"/>
      <c r="R79" s="10"/>
    </row>
    <row r="80" customFormat="false" ht="15" hidden="false" customHeight="false" outlineLevel="0" collapsed="false">
      <c r="A80" s="1"/>
      <c r="D80" s="1"/>
      <c r="F80" s="1"/>
      <c r="H80" s="1"/>
      <c r="J80" s="1"/>
      <c r="M80" s="23"/>
      <c r="N80" s="3"/>
      <c r="O80" s="23"/>
      <c r="R80" s="10"/>
    </row>
    <row r="81" customFormat="false" ht="15" hidden="false" customHeight="false" outlineLevel="0" collapsed="false">
      <c r="A81" s="1"/>
      <c r="D81" s="1"/>
      <c r="F81" s="1"/>
      <c r="H81" s="1"/>
      <c r="J81" s="1"/>
      <c r="M81" s="23"/>
      <c r="N81" s="3"/>
      <c r="O81" s="23"/>
      <c r="R81" s="10"/>
    </row>
    <row r="82" customFormat="false" ht="15" hidden="false" customHeight="false" outlineLevel="0" collapsed="false">
      <c r="A82" s="1"/>
      <c r="D82" s="1"/>
      <c r="F82" s="1"/>
      <c r="H82" s="1"/>
      <c r="J82" s="1"/>
      <c r="M82" s="23"/>
      <c r="N82" s="3"/>
      <c r="O82" s="23"/>
      <c r="R82" s="10"/>
    </row>
    <row r="84" customFormat="false" ht="15" hidden="false" customHeight="false" outlineLevel="0" collapsed="false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</row>
    <row r="85" customFormat="false" ht="15" hidden="false" customHeight="false" outlineLevel="0" collapsed="false">
      <c r="A85" s="1"/>
      <c r="D85" s="1"/>
      <c r="F85" s="1"/>
      <c r="H85" s="1"/>
      <c r="I85" s="1"/>
      <c r="J85" s="1"/>
      <c r="M85" s="23"/>
      <c r="N85" s="1"/>
      <c r="O85" s="23"/>
    </row>
    <row r="87" customFormat="false" ht="15" hidden="false" customHeight="false" outlineLevel="0" collapsed="false">
      <c r="A87" s="1"/>
      <c r="D87" s="1"/>
      <c r="F87" s="1"/>
      <c r="H87" s="1"/>
      <c r="I87" s="1"/>
      <c r="J87" s="1"/>
      <c r="M87" s="23"/>
      <c r="N87" s="3"/>
      <c r="O87" s="23"/>
      <c r="R87" s="10"/>
    </row>
    <row r="89" customFormat="false" ht="15" hidden="false" customHeight="false" outlineLevel="0" collapsed="false">
      <c r="A89" s="1"/>
      <c r="D89" s="1"/>
      <c r="F89" s="1"/>
      <c r="H89" s="1"/>
      <c r="J89" s="1"/>
      <c r="M89" s="23"/>
      <c r="N89" s="3"/>
      <c r="O89" s="23"/>
      <c r="R89" s="10"/>
    </row>
    <row r="91" customFormat="false" ht="15" hidden="false" customHeight="false" outlineLevel="0" collapsed="false">
      <c r="A91" s="1"/>
      <c r="D91" s="1"/>
      <c r="F91" s="1"/>
      <c r="H91" s="1"/>
      <c r="J91" s="1"/>
      <c r="K91" s="1"/>
      <c r="M91" s="23"/>
      <c r="N91" s="1"/>
      <c r="O91" s="23"/>
      <c r="R91" s="10"/>
    </row>
    <row r="92" customFormat="false" ht="15" hidden="false" customHeight="false" outlineLevel="0" collapsed="false">
      <c r="A92" s="1"/>
      <c r="D92" s="1"/>
      <c r="F92" s="1"/>
      <c r="H92" s="1"/>
      <c r="J92" s="1"/>
      <c r="K92" s="1"/>
      <c r="M92" s="23"/>
      <c r="N92" s="1"/>
      <c r="O92" s="23"/>
      <c r="R92" s="10"/>
    </row>
    <row r="94" customFormat="false" ht="15" hidden="false" customHeight="false" outlineLevel="0" collapsed="false">
      <c r="A94" s="1"/>
      <c r="D94" s="1"/>
      <c r="F94" s="1"/>
      <c r="H94" s="1"/>
      <c r="I94" s="1"/>
      <c r="J94" s="1"/>
      <c r="K94" s="1"/>
      <c r="M94" s="23"/>
      <c r="N94" s="1"/>
      <c r="O94" s="23"/>
      <c r="R94" s="10"/>
    </row>
    <row r="96" customFormat="false" ht="15" hidden="false" customHeight="false" outlineLevel="0" collapsed="false">
      <c r="A96" s="1"/>
      <c r="D96" s="1"/>
      <c r="F96" s="1"/>
      <c r="G96" s="1"/>
      <c r="H96" s="1"/>
      <c r="I96" s="1"/>
      <c r="J96" s="1"/>
      <c r="K96" s="1"/>
      <c r="M96" s="23"/>
      <c r="N96" s="3"/>
      <c r="O96" s="23"/>
      <c r="R96" s="10"/>
    </row>
    <row r="98" customFormat="false" ht="15" hidden="false" customHeight="false" outlineLevel="0" collapsed="false">
      <c r="A98" s="1"/>
      <c r="D98" s="1"/>
      <c r="F98" s="1"/>
      <c r="H98" s="1"/>
      <c r="I98" s="1"/>
      <c r="J98" s="1"/>
      <c r="M98" s="23"/>
      <c r="N98" s="3"/>
      <c r="O98" s="23"/>
      <c r="R98" s="10"/>
    </row>
    <row r="100" customFormat="false" ht="15" hidden="false" customHeight="false" outlineLevel="0" collapsed="false">
      <c r="A100" s="1"/>
      <c r="D100" s="1"/>
      <c r="F100" s="1"/>
      <c r="H100" s="1"/>
      <c r="I100" s="1"/>
      <c r="J100" s="1"/>
      <c r="M100" s="23"/>
      <c r="N100" s="3"/>
      <c r="O100" s="23"/>
      <c r="R100" s="10"/>
    </row>
    <row r="101" customFormat="false" ht="15" hidden="false" customHeight="false" outlineLevel="0" collapsed="false">
      <c r="A101" s="1"/>
      <c r="D101" s="1"/>
      <c r="F101" s="1"/>
      <c r="H101" s="1"/>
      <c r="J101" s="1"/>
      <c r="M101" s="23"/>
      <c r="N101" s="3"/>
      <c r="O101" s="23"/>
      <c r="R101" s="10"/>
    </row>
    <row r="102" customFormat="false" ht="15" hidden="false" customHeight="false" outlineLevel="0" collapsed="false">
      <c r="A102" s="1"/>
      <c r="D102" s="1"/>
      <c r="F102" s="1"/>
      <c r="H102" s="1"/>
      <c r="J102" s="1"/>
      <c r="M102" s="23"/>
      <c r="N102" s="3"/>
      <c r="O102" s="23"/>
      <c r="R102" s="10"/>
    </row>
    <row r="104" customFormat="false" ht="15" hidden="false" customHeight="false" outlineLevel="0" collapsed="false">
      <c r="A104" s="1"/>
      <c r="D104" s="1"/>
      <c r="F104" s="1"/>
      <c r="G104" s="1"/>
      <c r="H104" s="1"/>
      <c r="I104" s="1"/>
      <c r="J104" s="1"/>
      <c r="K104" s="1"/>
      <c r="M104" s="23"/>
      <c r="N104" s="1"/>
      <c r="O104" s="23"/>
      <c r="R104" s="10"/>
    </row>
    <row r="105" customFormat="false" ht="15" hidden="false" customHeight="false" outlineLevel="0" collapsed="false">
      <c r="A105" s="1"/>
      <c r="D105" s="1"/>
      <c r="F105" s="1"/>
      <c r="G105" s="1"/>
      <c r="H105" s="1"/>
      <c r="I105" s="1"/>
      <c r="J105" s="1"/>
      <c r="K105" s="1"/>
      <c r="M105" s="23"/>
      <c r="N105" s="1"/>
      <c r="O105" s="23"/>
      <c r="R105" s="10"/>
    </row>
    <row r="106" customFormat="false" ht="15" hidden="false" customHeight="false" outlineLevel="0" collapsed="false">
      <c r="A106" s="1"/>
      <c r="D106" s="1"/>
      <c r="F106" s="1"/>
      <c r="G106" s="1"/>
      <c r="H106" s="1"/>
      <c r="I106" s="1"/>
      <c r="J106" s="1"/>
      <c r="K106" s="1"/>
      <c r="M106" s="23"/>
      <c r="N106" s="1"/>
      <c r="O106" s="23"/>
      <c r="R106" s="10"/>
    </row>
    <row r="107" customFormat="false" ht="15" hidden="false" customHeight="false" outlineLevel="0" collapsed="false">
      <c r="A107" s="1"/>
      <c r="D107" s="1"/>
      <c r="F107" s="1"/>
      <c r="G107" s="1"/>
      <c r="H107" s="1"/>
      <c r="I107" s="1"/>
      <c r="J107" s="1"/>
      <c r="K107" s="1"/>
      <c r="M107" s="23"/>
      <c r="N107" s="1"/>
      <c r="O107" s="23"/>
      <c r="R107" s="10"/>
    </row>
    <row r="108" customFormat="false" ht="15" hidden="false" customHeight="false" outlineLevel="0" collapsed="false">
      <c r="A108" s="1"/>
      <c r="D108" s="1"/>
      <c r="F108" s="1"/>
      <c r="G108" s="1"/>
      <c r="H108" s="1"/>
      <c r="I108" s="1"/>
      <c r="J108" s="1"/>
      <c r="K108" s="1"/>
      <c r="M108" s="23"/>
      <c r="N108" s="1"/>
      <c r="O108" s="23"/>
      <c r="R108" s="10"/>
    </row>
    <row r="109" customFormat="false" ht="15" hidden="false" customHeight="false" outlineLevel="0" collapsed="false">
      <c r="A109" s="1"/>
      <c r="D109" s="1"/>
      <c r="F109" s="1"/>
      <c r="G109" s="1"/>
      <c r="H109" s="1"/>
      <c r="I109" s="1"/>
      <c r="J109" s="1"/>
      <c r="K109" s="1"/>
      <c r="M109" s="23"/>
      <c r="N109" s="1"/>
      <c r="O109" s="23"/>
      <c r="R109" s="10"/>
    </row>
    <row r="111" customFormat="false" ht="15" hidden="false" customHeight="false" outlineLevel="0" collapsed="false">
      <c r="A111" s="1"/>
      <c r="D111" s="1"/>
      <c r="F111" s="1"/>
      <c r="G111" s="1"/>
      <c r="H111" s="1"/>
      <c r="I111" s="1"/>
      <c r="J111" s="1"/>
      <c r="K111" s="1"/>
      <c r="M111" s="23"/>
      <c r="N111" s="1"/>
      <c r="O111" s="23"/>
      <c r="R111" s="10"/>
    </row>
    <row r="113" customFormat="false" ht="15" hidden="false" customHeight="false" outlineLevel="0" collapsed="false">
      <c r="A113" s="1"/>
      <c r="D113" s="1"/>
      <c r="F113" s="1"/>
      <c r="G113" s="1"/>
      <c r="H113" s="1"/>
      <c r="I113" s="1"/>
      <c r="J113" s="1"/>
      <c r="K113" s="1"/>
      <c r="L113" s="10"/>
      <c r="M113" s="32"/>
      <c r="N113" s="3"/>
      <c r="O113" s="35"/>
      <c r="R113" s="10"/>
    </row>
    <row r="114" customFormat="false" ht="15" hidden="false" customHeight="false" outlineLevel="0" collapsed="false">
      <c r="A114" s="1"/>
      <c r="D114" s="1"/>
      <c r="F114" s="1"/>
      <c r="G114" s="1"/>
      <c r="H114" s="1"/>
      <c r="I114" s="1"/>
      <c r="J114" s="1"/>
      <c r="K114" s="1"/>
      <c r="L114" s="32"/>
      <c r="M114" s="32"/>
      <c r="N114" s="3"/>
      <c r="O114" s="35"/>
      <c r="R114" s="10"/>
    </row>
    <row r="115" customFormat="false" ht="15" hidden="false" customHeight="false" outlineLevel="0" collapsed="false">
      <c r="A115" s="1"/>
      <c r="D115" s="1"/>
      <c r="F115" s="1"/>
      <c r="G115" s="1"/>
      <c r="H115" s="1"/>
      <c r="J115" s="1"/>
      <c r="K115" s="1"/>
      <c r="M115" s="23"/>
      <c r="N115" s="3"/>
      <c r="O115" s="23"/>
      <c r="R115" s="10"/>
    </row>
    <row r="116" customFormat="false" ht="15" hidden="false" customHeight="false" outlineLevel="0" collapsed="false">
      <c r="A116" s="1"/>
      <c r="D116" s="1"/>
      <c r="F116" s="1"/>
      <c r="G116" s="1"/>
      <c r="H116" s="1"/>
      <c r="I116" s="1"/>
      <c r="J116" s="1"/>
      <c r="K116" s="1"/>
      <c r="M116" s="23"/>
      <c r="N116" s="1"/>
      <c r="O116" s="23"/>
      <c r="R116" s="10"/>
    </row>
    <row r="117" customFormat="false" ht="15" hidden="false" customHeight="false" outlineLevel="0" collapsed="false">
      <c r="A117" s="1"/>
      <c r="D117" s="1"/>
      <c r="F117" s="1"/>
      <c r="G117" s="1"/>
      <c r="H117" s="1"/>
      <c r="I117" s="1"/>
      <c r="J117" s="1"/>
      <c r="K117" s="1"/>
      <c r="M117" s="23"/>
      <c r="N117" s="1"/>
      <c r="O117" s="23"/>
      <c r="R117" s="10"/>
    </row>
    <row r="118" customFormat="false" ht="15" hidden="false" customHeight="false" outlineLevel="0" collapsed="false">
      <c r="A118" s="1"/>
      <c r="D118" s="1"/>
      <c r="F118" s="1"/>
      <c r="G118" s="1"/>
      <c r="H118" s="1"/>
      <c r="J118" s="1"/>
      <c r="K118" s="1"/>
      <c r="M118" s="23"/>
      <c r="N118" s="1"/>
      <c r="O118" s="23"/>
      <c r="R118" s="10"/>
    </row>
    <row r="119" customFormat="false" ht="15" hidden="false" customHeight="false" outlineLevel="0" collapsed="false">
      <c r="A119" s="1"/>
      <c r="D119" s="1"/>
      <c r="F119" s="1"/>
      <c r="G119" s="1"/>
      <c r="H119" s="1"/>
      <c r="I119" s="1"/>
      <c r="J119" s="1"/>
      <c r="K119" s="1"/>
      <c r="M119" s="23"/>
      <c r="N119" s="1"/>
      <c r="O119" s="23"/>
      <c r="R119" s="10"/>
    </row>
    <row r="120" customFormat="false" ht="15" hidden="false" customHeight="false" outlineLevel="0" collapsed="false">
      <c r="A120" s="1"/>
      <c r="D120" s="1"/>
      <c r="F120" s="1"/>
      <c r="G120" s="1"/>
      <c r="H120" s="1"/>
      <c r="I120" s="1"/>
      <c r="J120" s="1"/>
      <c r="K120" s="1"/>
      <c r="M120" s="23"/>
      <c r="N120" s="1"/>
      <c r="O120" s="23"/>
      <c r="R120" s="10"/>
    </row>
    <row r="121" customFormat="false" ht="15" hidden="false" customHeight="false" outlineLevel="0" collapsed="false">
      <c r="A121" s="1"/>
      <c r="D121" s="1"/>
      <c r="F121" s="1"/>
      <c r="G121" s="1"/>
      <c r="H121" s="1"/>
      <c r="J121" s="1"/>
      <c r="K121" s="1"/>
      <c r="M121" s="23"/>
      <c r="N121" s="1"/>
      <c r="O121" s="23"/>
      <c r="R121" s="10"/>
    </row>
    <row r="122" customFormat="false" ht="15" hidden="false" customHeight="false" outlineLevel="0" collapsed="false">
      <c r="A122" s="1"/>
      <c r="D122" s="1"/>
      <c r="F122" s="1"/>
      <c r="G122" s="1"/>
      <c r="H122" s="1"/>
      <c r="J122" s="1"/>
      <c r="K122" s="1"/>
      <c r="N122" s="1"/>
      <c r="R122" s="10"/>
    </row>
    <row r="123" customFormat="false" ht="15" hidden="false" customHeight="false" outlineLevel="0" collapsed="false">
      <c r="A123" s="1"/>
      <c r="D123" s="1"/>
      <c r="F123" s="1"/>
      <c r="G123" s="1"/>
      <c r="H123" s="1"/>
      <c r="I123" s="1"/>
      <c r="J123" s="1"/>
      <c r="K123" s="1"/>
      <c r="M123" s="23"/>
      <c r="N123" s="1"/>
      <c r="O123" s="23"/>
      <c r="R123" s="10"/>
    </row>
    <row r="124" customFormat="false" ht="15" hidden="false" customHeight="false" outlineLevel="0" collapsed="false">
      <c r="A124" s="1"/>
      <c r="D124" s="1"/>
      <c r="F124" s="1"/>
      <c r="G124" s="1"/>
      <c r="H124" s="1"/>
      <c r="J124" s="1"/>
      <c r="K124" s="1"/>
      <c r="M124" s="23"/>
      <c r="N124" s="1"/>
      <c r="O124" s="23"/>
      <c r="R124" s="10"/>
    </row>
    <row r="126" customFormat="false" ht="15" hidden="false" customHeight="false" outlineLevel="0" collapsed="false">
      <c r="A126" s="1"/>
      <c r="D126" s="1"/>
      <c r="F126" s="1"/>
      <c r="H126" s="1"/>
      <c r="I126" s="1"/>
      <c r="J126" s="1"/>
      <c r="K126" s="1"/>
      <c r="M126" s="23"/>
      <c r="N126" s="1"/>
      <c r="O126" s="23"/>
      <c r="R126" s="10"/>
    </row>
    <row r="127" customFormat="false" ht="15" hidden="false" customHeight="false" outlineLevel="0" collapsed="false">
      <c r="A127" s="1"/>
      <c r="D127" s="1"/>
      <c r="F127" s="1"/>
      <c r="H127" s="1"/>
      <c r="I127" s="1"/>
      <c r="J127" s="1"/>
      <c r="K127" s="1"/>
      <c r="M127" s="23"/>
      <c r="N127" s="1"/>
      <c r="O127" s="23"/>
      <c r="R127" s="10"/>
    </row>
    <row r="128" customFormat="false" ht="15" hidden="false" customHeight="false" outlineLevel="0" collapsed="false">
      <c r="J128" s="1"/>
      <c r="K128" s="1"/>
    </row>
    <row r="129" customFormat="false" ht="15" hidden="false" customHeight="false" outlineLevel="0" collapsed="false">
      <c r="A129" s="1"/>
      <c r="D129" s="1"/>
      <c r="F129" s="1"/>
      <c r="H129" s="1"/>
      <c r="I129" s="1"/>
      <c r="J129" s="1"/>
      <c r="K129" s="1"/>
      <c r="M129" s="23"/>
      <c r="N129" s="1"/>
      <c r="O129" s="23"/>
      <c r="R129" s="10"/>
    </row>
    <row r="130" customFormat="false" ht="15" hidden="false" customHeight="false" outlineLevel="0" collapsed="false">
      <c r="A130" s="1"/>
      <c r="D130" s="1"/>
      <c r="H130" s="1"/>
      <c r="J130" s="1"/>
      <c r="K130" s="1"/>
      <c r="M130" s="23"/>
      <c r="N130" s="3"/>
      <c r="O130" s="23"/>
      <c r="R130" s="10"/>
    </row>
    <row r="131" customFormat="false" ht="15" hidden="false" customHeight="false" outlineLevel="0" collapsed="false">
      <c r="A131" s="1"/>
      <c r="D131" s="1"/>
      <c r="F131" s="1"/>
      <c r="H131" s="1"/>
      <c r="I131" s="1"/>
      <c r="J131" s="1"/>
      <c r="K131" s="1"/>
      <c r="M131" s="23"/>
      <c r="N131" s="3"/>
      <c r="O131" s="23"/>
      <c r="R131" s="10"/>
    </row>
    <row r="132" customFormat="false" ht="15" hidden="false" customHeight="false" outlineLevel="0" collapsed="false">
      <c r="A132" s="1"/>
      <c r="D132" s="1"/>
      <c r="F132" s="1"/>
      <c r="H132" s="1"/>
      <c r="J132" s="1"/>
      <c r="K132" s="1"/>
      <c r="M132" s="23"/>
      <c r="N132" s="3"/>
      <c r="O132" s="23"/>
      <c r="R132" s="10"/>
    </row>
    <row r="133" customFormat="false" ht="15" hidden="false" customHeight="false" outlineLevel="0" collapsed="false">
      <c r="A133" s="1"/>
      <c r="D133" s="1"/>
      <c r="F133" s="1"/>
      <c r="H133" s="1"/>
      <c r="J133" s="1"/>
      <c r="M133" s="23"/>
      <c r="N133" s="3"/>
      <c r="O133" s="23"/>
      <c r="R133" s="10"/>
    </row>
    <row r="134" customFormat="false" ht="15" hidden="false" customHeight="false" outlineLevel="0" collapsed="false">
      <c r="A134" s="1"/>
      <c r="D134" s="1"/>
      <c r="F134" s="1"/>
      <c r="H134" s="1"/>
      <c r="J134" s="1"/>
      <c r="M134" s="23"/>
      <c r="N134" s="3"/>
      <c r="O134" s="23"/>
      <c r="R134" s="10"/>
    </row>
    <row r="135" customFormat="false" ht="15" hidden="false" customHeight="false" outlineLevel="0" collapsed="false">
      <c r="A135" s="1"/>
      <c r="D135" s="1"/>
      <c r="F135" s="1"/>
      <c r="H135" s="1"/>
      <c r="J135" s="1"/>
      <c r="M135" s="23"/>
      <c r="N135" s="3"/>
      <c r="O135" s="23"/>
      <c r="R135" s="10"/>
    </row>
    <row r="136" customFormat="false" ht="15" hidden="false" customHeight="false" outlineLevel="0" collapsed="false">
      <c r="A136" s="1"/>
      <c r="D136" s="1"/>
      <c r="F136" s="1"/>
      <c r="H136" s="1"/>
      <c r="J136" s="1"/>
      <c r="M136" s="23"/>
      <c r="N136" s="3"/>
      <c r="O136" s="23"/>
      <c r="R136" s="10"/>
    </row>
    <row r="137" customFormat="false" ht="15" hidden="false" customHeight="false" outlineLevel="0" collapsed="false">
      <c r="A137" s="1"/>
      <c r="D137" s="1"/>
      <c r="F137" s="1"/>
      <c r="H137" s="1"/>
      <c r="J137" s="1"/>
      <c r="M137" s="23"/>
      <c r="N137" s="3"/>
      <c r="O137" s="23"/>
      <c r="R137" s="10"/>
    </row>
    <row r="138" customFormat="false" ht="15" hidden="false" customHeight="false" outlineLevel="0" collapsed="false">
      <c r="A138" s="1"/>
      <c r="D138" s="1"/>
      <c r="F138" s="1"/>
      <c r="H138" s="1"/>
      <c r="J138" s="1"/>
      <c r="M138" s="23"/>
      <c r="N138" s="3"/>
      <c r="O138" s="23"/>
      <c r="R138" s="10"/>
    </row>
    <row r="139" customFormat="false" ht="15" hidden="false" customHeight="false" outlineLevel="0" collapsed="false">
      <c r="A139" s="1"/>
      <c r="D139" s="1"/>
      <c r="F139" s="1"/>
      <c r="H139" s="1"/>
      <c r="J139" s="1"/>
      <c r="M139" s="23"/>
      <c r="N139" s="3"/>
      <c r="O139" s="23"/>
      <c r="R139" s="10"/>
    </row>
    <row r="140" customFormat="false" ht="15" hidden="false" customHeight="false" outlineLevel="0" collapsed="false">
      <c r="A140" s="1"/>
      <c r="D140" s="1"/>
      <c r="F140" s="1"/>
      <c r="H140" s="1"/>
      <c r="J140" s="1"/>
      <c r="M140" s="23"/>
      <c r="N140" s="3"/>
      <c r="O140" s="23"/>
      <c r="R140" s="10"/>
    </row>
    <row r="141" customFormat="false" ht="15" hidden="false" customHeight="false" outlineLevel="0" collapsed="false">
      <c r="A141" s="1"/>
      <c r="H141" s="1"/>
      <c r="J141" s="1"/>
      <c r="M141" s="23"/>
      <c r="N141" s="3"/>
      <c r="O141" s="23"/>
      <c r="R141" s="10"/>
    </row>
    <row r="142" customFormat="false" ht="15" hidden="false" customHeight="false" outlineLevel="0" collapsed="false">
      <c r="A142" s="1"/>
      <c r="H142" s="1"/>
      <c r="J142" s="1"/>
      <c r="M142" s="23"/>
      <c r="N142" s="3"/>
      <c r="O142" s="23"/>
      <c r="R142" s="10"/>
    </row>
    <row r="143" customFormat="false" ht="15" hidden="false" customHeight="false" outlineLevel="0" collapsed="false">
      <c r="A143" s="1"/>
      <c r="H143" s="1"/>
      <c r="J143" s="1"/>
      <c r="M143" s="23"/>
      <c r="N143" s="3"/>
      <c r="O143" s="23"/>
      <c r="R143" s="10"/>
    </row>
    <row r="144" customFormat="false" ht="15" hidden="false" customHeight="false" outlineLevel="0" collapsed="false">
      <c r="A144" s="1"/>
      <c r="H144" s="1"/>
      <c r="J144" s="1"/>
      <c r="M144" s="23"/>
      <c r="N144" s="3"/>
      <c r="O144" s="23"/>
      <c r="R144" s="10"/>
    </row>
    <row r="145" customFormat="false" ht="15" hidden="false" customHeight="false" outlineLevel="0" collapsed="false">
      <c r="A145" s="1"/>
      <c r="D145" s="1"/>
      <c r="F145" s="1"/>
      <c r="H145" s="1"/>
      <c r="I145" s="33"/>
      <c r="J145" s="1"/>
      <c r="M145" s="23"/>
      <c r="N145" s="3"/>
      <c r="O145" s="23"/>
      <c r="R145" s="10"/>
    </row>
    <row r="146" customFormat="false" ht="15" hidden="false" customHeight="false" outlineLevel="0" collapsed="false">
      <c r="A146" s="1"/>
      <c r="D146" s="1"/>
      <c r="F146" s="1"/>
      <c r="H146" s="1"/>
      <c r="I146" s="33"/>
      <c r="J146" s="1"/>
      <c r="M146" s="23"/>
      <c r="N146" s="3"/>
      <c r="O146" s="23"/>
      <c r="R146" s="10"/>
    </row>
    <row r="147" customFormat="false" ht="15" hidden="false" customHeight="false" outlineLevel="0" collapsed="false">
      <c r="A147" s="1"/>
      <c r="D147" s="1"/>
      <c r="F147" s="1"/>
      <c r="H147" s="1"/>
      <c r="I147" s="33"/>
      <c r="J147" s="1"/>
      <c r="M147" s="23"/>
      <c r="N147" s="3"/>
      <c r="O147" s="23"/>
      <c r="R147" s="10"/>
    </row>
    <row r="148" customFormat="false" ht="15" hidden="false" customHeight="false" outlineLevel="0" collapsed="false">
      <c r="A148" s="1"/>
      <c r="D148" s="1"/>
      <c r="F148" s="1"/>
      <c r="H148" s="1"/>
      <c r="J148" s="1"/>
      <c r="M148" s="23"/>
      <c r="N148" s="3"/>
      <c r="O148" s="23"/>
      <c r="R148" s="10"/>
    </row>
    <row r="149" customFormat="false" ht="15" hidden="false" customHeight="false" outlineLevel="0" collapsed="false">
      <c r="A149" s="1"/>
      <c r="D149" s="1"/>
      <c r="F149" s="1"/>
      <c r="H149" s="1"/>
      <c r="I149" s="33"/>
      <c r="J149" s="1"/>
      <c r="M149" s="23"/>
      <c r="N149" s="3"/>
      <c r="O149" s="23"/>
      <c r="R149" s="10"/>
    </row>
    <row r="150" customFormat="false" ht="15" hidden="false" customHeight="false" outlineLevel="0" collapsed="false">
      <c r="A150" s="1"/>
      <c r="D150" s="1"/>
      <c r="F150" s="1"/>
      <c r="H150" s="1"/>
      <c r="I150" s="33"/>
      <c r="J150" s="1"/>
      <c r="M150" s="23"/>
      <c r="N150" s="3"/>
      <c r="O150" s="23"/>
      <c r="R150" s="10"/>
    </row>
    <row r="151" customFormat="false" ht="15" hidden="false" customHeight="false" outlineLevel="0" collapsed="false">
      <c r="A151" s="1"/>
      <c r="D151" s="1"/>
      <c r="F151" s="1"/>
      <c r="H151" s="1"/>
      <c r="I151" s="33"/>
      <c r="J151" s="1"/>
      <c r="M151" s="23"/>
      <c r="N151" s="3"/>
      <c r="O151" s="23"/>
      <c r="R151" s="10"/>
    </row>
    <row r="152" customFormat="false" ht="15" hidden="false" customHeight="false" outlineLevel="0" collapsed="false">
      <c r="A152" s="1"/>
      <c r="D152" s="1"/>
      <c r="F152" s="1"/>
      <c r="H152" s="1"/>
      <c r="I152" s="33"/>
      <c r="J152" s="1"/>
      <c r="M152" s="23"/>
      <c r="N152" s="3"/>
      <c r="O152" s="23"/>
      <c r="R152" s="10"/>
    </row>
    <row r="153" customFormat="false" ht="15" hidden="false" customHeight="false" outlineLevel="0" collapsed="false">
      <c r="A153" s="1"/>
      <c r="H153" s="1"/>
      <c r="J153" s="1"/>
      <c r="M153" s="23"/>
      <c r="N153" s="3"/>
      <c r="O153" s="23"/>
      <c r="R153" s="10"/>
    </row>
    <row r="154" customFormat="false" ht="15" hidden="false" customHeight="false" outlineLevel="0" collapsed="false">
      <c r="H154" s="1"/>
      <c r="J154" s="1"/>
      <c r="N154" s="3"/>
      <c r="R154" s="10"/>
    </row>
    <row r="155" customFormat="false" ht="15" hidden="false" customHeight="false" outlineLevel="0" collapsed="false">
      <c r="H155" s="1"/>
      <c r="J155" s="1"/>
      <c r="N155" s="3"/>
      <c r="R155" s="10"/>
    </row>
    <row r="156" customFormat="false" ht="15" hidden="false" customHeight="false" outlineLevel="0" collapsed="false">
      <c r="H156" s="1"/>
      <c r="J156" s="1"/>
      <c r="N156" s="3"/>
      <c r="R156" s="10"/>
    </row>
    <row r="157" customFormat="false" ht="15" hidden="false" customHeight="false" outlineLevel="0" collapsed="false">
      <c r="H157" s="1"/>
      <c r="J157" s="1"/>
      <c r="N157" s="3"/>
      <c r="R157" s="10"/>
    </row>
    <row r="158" customFormat="false" ht="15" hidden="false" customHeight="false" outlineLevel="0" collapsed="false">
      <c r="H158" s="1"/>
      <c r="J158" s="1"/>
      <c r="N158" s="3"/>
      <c r="R158" s="10"/>
    </row>
    <row r="159" customFormat="false" ht="15" hidden="false" customHeight="false" outlineLevel="0" collapsed="false">
      <c r="H159" s="1"/>
      <c r="J159" s="1"/>
      <c r="N159" s="3"/>
      <c r="R159" s="10"/>
    </row>
    <row r="160" customFormat="false" ht="15" hidden="false" customHeight="false" outlineLevel="0" collapsed="false">
      <c r="H160" s="1"/>
      <c r="J160" s="1"/>
      <c r="N160" s="3"/>
      <c r="R160" s="10"/>
    </row>
    <row r="161" customFormat="false" ht="15" hidden="false" customHeight="false" outlineLevel="0" collapsed="false">
      <c r="H161" s="1"/>
      <c r="J161" s="1"/>
      <c r="N161" s="3"/>
      <c r="R161" s="10"/>
    </row>
    <row r="162" customFormat="false" ht="15" hidden="false" customHeight="false" outlineLevel="0" collapsed="false">
      <c r="H162" s="1"/>
      <c r="J162" s="1"/>
      <c r="N162" s="3"/>
      <c r="R162" s="10"/>
    </row>
    <row r="163" customFormat="false" ht="15" hidden="false" customHeight="false" outlineLevel="0" collapsed="false">
      <c r="H163" s="1"/>
      <c r="J163" s="1"/>
      <c r="N163" s="3"/>
      <c r="R163" s="10"/>
    </row>
    <row r="164" customFormat="false" ht="15" hidden="false" customHeight="false" outlineLevel="0" collapsed="false">
      <c r="H164" s="1"/>
      <c r="J164" s="1"/>
      <c r="N164" s="3"/>
      <c r="R164" s="10"/>
    </row>
    <row r="165" customFormat="false" ht="15" hidden="false" customHeight="false" outlineLevel="0" collapsed="false">
      <c r="H165" s="1"/>
      <c r="J165" s="1"/>
      <c r="N165" s="3"/>
      <c r="R165" s="10"/>
    </row>
    <row r="166" customFormat="false" ht="15" hidden="false" customHeight="false" outlineLevel="0" collapsed="false">
      <c r="H166" s="1"/>
      <c r="J166" s="1"/>
      <c r="N166" s="3"/>
      <c r="R166" s="10"/>
    </row>
  </sheetData>
  <conditionalFormatting sqref="N42">
    <cfRule type="containsText" priority="2" operator="containsText" aboveAverage="0" equalAverage="0" bottom="0" percent="0" rank="0" text="a montar" dxfId="903">
      <formula>NOT(ISERROR(SEARCH("a montar",N42)))</formula>
    </cfRule>
    <cfRule type="containsText" priority="3" operator="containsText" aboveAverage="0" equalAverage="0" bottom="0" percent="0" rank="0" text="a serrar" dxfId="904">
      <formula>NOT(ISERROR(SEARCH("a serrar",N42)))</formula>
    </cfRule>
    <cfRule type="containsText" priority="4" operator="containsText" aboveAverage="0" equalAverage="0" bottom="0" percent="0" rank="0" text="pronto" dxfId="905">
      <formula>NOT(ISERROR(SEARCH("pronto",N42)))</formula>
    </cfRule>
    <cfRule type="containsText" priority="5" operator="containsText" aboveAverage="0" equalAverage="0" bottom="0" percent="0" rank="0" text="empreita" dxfId="906">
      <formula>NOT(ISERROR(SEARCH("empreita",N42)))</formula>
    </cfRule>
    <cfRule type="containsText" priority="6" operator="containsText" aboveAverage="0" equalAverage="0" bottom="0" percent="0" rank="0" text="previsto" dxfId="907">
      <formula>NOT(ISERROR(SEARCH("previsto",N42)))</formula>
    </cfRule>
    <cfRule type="containsText" priority="7" operator="containsText" aboveAverage="0" equalAverage="0" bottom="0" percent="0" rank="0" text="produzindo" dxfId="908">
      <formula>NOT(ISERROR(SEARCH("produzindo",N42)))</formula>
    </cfRule>
    <cfRule type="containsText" priority="8" operator="containsText" aboveAverage="0" equalAverage="0" bottom="0" percent="0" rank="0" text="material ok" dxfId="909">
      <formula>NOT(ISERROR(SEARCH("material ok",N42)))</formula>
    </cfRule>
    <cfRule type="containsText" priority="9" operator="containsText" aboveAverage="0" equalAverage="0" bottom="0" percent="0" rank="0" text="a montar" dxfId="910">
      <formula>NOT(ISERROR(SEARCH("a montar",N42)))</formula>
    </cfRule>
    <cfRule type="containsText" priority="10" operator="containsText" aboveAverage="0" equalAverage="0" bottom="0" percent="0" rank="0" text="a serrar" dxfId="911">
      <formula>NOT(ISERROR(SEARCH("a serrar",N42)))</formula>
    </cfRule>
    <cfRule type="containsText" priority="11" operator="containsText" aboveAverage="0" equalAverage="0" bottom="0" percent="0" rank="0" text="pronto" dxfId="912">
      <formula>NOT(ISERROR(SEARCH("pronto",N42)))</formula>
    </cfRule>
    <cfRule type="containsText" priority="12" operator="containsText" aboveAverage="0" equalAverage="0" bottom="0" percent="0" rank="0" text="empreita" dxfId="913">
      <formula>NOT(ISERROR(SEARCH("empreita",N42)))</formula>
    </cfRule>
    <cfRule type="containsText" priority="13" operator="containsText" aboveAverage="0" equalAverage="0" bottom="0" percent="0" rank="0" text="previsto" dxfId="914">
      <formula>NOT(ISERROR(SEARCH("previsto",N42)))</formula>
    </cfRule>
    <cfRule type="containsText" priority="14" operator="containsText" aboveAverage="0" equalAverage="0" bottom="0" percent="0" rank="0" text="produzindo" dxfId="915">
      <formula>NOT(ISERROR(SEARCH("produzindo",N42)))</formula>
    </cfRule>
    <cfRule type="containsText" priority="15" operator="containsText" aboveAverage="0" equalAverage="0" bottom="0" percent="0" rank="0" text="material ok" dxfId="916">
      <formula>NOT(ISERROR(SEARCH("material ok",N42)))</formula>
    </cfRule>
    <cfRule type="containsText" priority="16" operator="containsText" aboveAverage="0" equalAverage="0" bottom="0" percent="0" rank="0" text="a montar" dxfId="917">
      <formula>NOT(ISERROR(SEARCH("a montar",N42)))</formula>
    </cfRule>
    <cfRule type="containsText" priority="17" operator="containsText" aboveAverage="0" equalAverage="0" bottom="0" percent="0" rank="0" text="a serrar" dxfId="918">
      <formula>NOT(ISERROR(SEARCH("a serrar",N42)))</formula>
    </cfRule>
    <cfRule type="containsText" priority="18" operator="containsText" aboveAverage="0" equalAverage="0" bottom="0" percent="0" rank="0" text="pronto" dxfId="919">
      <formula>NOT(ISERROR(SEARCH("pronto",N42)))</formula>
    </cfRule>
    <cfRule type="containsText" priority="19" operator="containsText" aboveAverage="0" equalAverage="0" bottom="0" percent="0" rank="0" text="empreita" dxfId="920">
      <formula>NOT(ISERROR(SEARCH("empreita",N42)))</formula>
    </cfRule>
    <cfRule type="containsText" priority="20" operator="containsText" aboveAverage="0" equalAverage="0" bottom="0" percent="0" rank="0" text="previsto" dxfId="921">
      <formula>NOT(ISERROR(SEARCH("previsto",N42)))</formula>
    </cfRule>
    <cfRule type="containsText" priority="21" operator="containsText" aboveAverage="0" equalAverage="0" bottom="0" percent="0" rank="0" text="produzindo" dxfId="922">
      <formula>NOT(ISERROR(SEARCH("produzindo",N42)))</formula>
    </cfRule>
    <cfRule type="containsText" priority="22" operator="containsText" aboveAverage="0" equalAverage="0" bottom="0" percent="0" rank="0" text="material ok" dxfId="923">
      <formula>NOT(ISERROR(SEARCH("material ok",N42)))</formula>
    </cfRule>
  </conditionalFormatting>
  <conditionalFormatting sqref="N41:N42">
    <cfRule type="containsText" priority="23" operator="containsText" aboveAverage="0" equalAverage="0" bottom="0" percent="0" rank="0" text="a montar" dxfId="924">
      <formula>NOT(ISERROR(SEARCH("a montar",N41)))</formula>
    </cfRule>
    <cfRule type="containsText" priority="24" operator="containsText" aboveAverage="0" equalAverage="0" bottom="0" percent="0" rank="0" text="a serrar" dxfId="925">
      <formula>NOT(ISERROR(SEARCH("a serrar",N41)))</formula>
    </cfRule>
    <cfRule type="containsText" priority="25" operator="containsText" aboveAverage="0" equalAverage="0" bottom="0" percent="0" rank="0" text="pronto" dxfId="926">
      <formula>NOT(ISERROR(SEARCH("pronto",N41)))</formula>
    </cfRule>
    <cfRule type="containsText" priority="26" operator="containsText" aboveAverage="0" equalAverage="0" bottom="0" percent="0" rank="0" text="empreita" dxfId="927">
      <formula>NOT(ISERROR(SEARCH("empreita",N41)))</formula>
    </cfRule>
    <cfRule type="containsText" priority="27" operator="containsText" aboveAverage="0" equalAverage="0" bottom="0" percent="0" rank="0" text="previsto" dxfId="928">
      <formula>NOT(ISERROR(SEARCH("previsto",N41)))</formula>
    </cfRule>
    <cfRule type="containsText" priority="28" operator="containsText" aboveAverage="0" equalAverage="0" bottom="0" percent="0" rank="0" text="produzindo" dxfId="929">
      <formula>NOT(ISERROR(SEARCH("produzindo",N41)))</formula>
    </cfRule>
    <cfRule type="containsText" priority="29" operator="containsText" aboveAverage="0" equalAverage="0" bottom="0" percent="0" rank="0" text="material ok" dxfId="930">
      <formula>NOT(ISERROR(SEARCH("material ok",N41)))</formula>
    </cfRule>
  </conditionalFormatting>
  <conditionalFormatting sqref="N41">
    <cfRule type="containsText" priority="30" operator="containsText" aboveAverage="0" equalAverage="0" bottom="0" percent="0" rank="0" text="a montar" dxfId="931">
      <formula>NOT(ISERROR(SEARCH("a montar",N41)))</formula>
    </cfRule>
    <cfRule type="containsText" priority="31" operator="containsText" aboveAverage="0" equalAverage="0" bottom="0" percent="0" rank="0" text="a serrar" dxfId="932">
      <formula>NOT(ISERROR(SEARCH("a serrar",N41)))</formula>
    </cfRule>
    <cfRule type="containsText" priority="32" operator="containsText" aboveAverage="0" equalAverage="0" bottom="0" percent="0" rank="0" text="pronto" dxfId="933">
      <formula>NOT(ISERROR(SEARCH("pronto",N41)))</formula>
    </cfRule>
    <cfRule type="containsText" priority="33" operator="containsText" aboveAverage="0" equalAverage="0" bottom="0" percent="0" rank="0" text="empreita" dxfId="934">
      <formula>NOT(ISERROR(SEARCH("empreita",N41)))</formula>
    </cfRule>
    <cfRule type="containsText" priority="34" operator="containsText" aboveAverage="0" equalAverage="0" bottom="0" percent="0" rank="0" text="previsto" dxfId="935">
      <formula>NOT(ISERROR(SEARCH("previsto",N41)))</formula>
    </cfRule>
    <cfRule type="containsText" priority="35" operator="containsText" aboveAverage="0" equalAverage="0" bottom="0" percent="0" rank="0" text="produzindo" dxfId="936">
      <formula>NOT(ISERROR(SEARCH("produzindo",N41)))</formula>
    </cfRule>
    <cfRule type="containsText" priority="36" operator="containsText" aboveAverage="0" equalAverage="0" bottom="0" percent="0" rank="0" text="material ok" dxfId="937">
      <formula>NOT(ISERROR(SEARCH("material ok",N41)))</formula>
    </cfRule>
    <cfRule type="containsText" priority="37" operator="containsText" aboveAverage="0" equalAverage="0" bottom="0" percent="0" rank="0" text="a montar" dxfId="938">
      <formula>NOT(ISERROR(SEARCH("a montar",N41)))</formula>
    </cfRule>
    <cfRule type="containsText" priority="38" operator="containsText" aboveAverage="0" equalAverage="0" bottom="0" percent="0" rank="0" text="a serrar" dxfId="939">
      <formula>NOT(ISERROR(SEARCH("a serrar",N41)))</formula>
    </cfRule>
    <cfRule type="containsText" priority="39" operator="containsText" aboveAverage="0" equalAverage="0" bottom="0" percent="0" rank="0" text="pronto" dxfId="940">
      <formula>NOT(ISERROR(SEARCH("pronto",N41)))</formula>
    </cfRule>
    <cfRule type="containsText" priority="40" operator="containsText" aboveAverage="0" equalAverage="0" bottom="0" percent="0" rank="0" text="empreita" dxfId="941">
      <formula>NOT(ISERROR(SEARCH("empreita",N41)))</formula>
    </cfRule>
    <cfRule type="containsText" priority="41" operator="containsText" aboveAverage="0" equalAverage="0" bottom="0" percent="0" rank="0" text="previsto" dxfId="942">
      <formula>NOT(ISERROR(SEARCH("previsto",N41)))</formula>
    </cfRule>
    <cfRule type="containsText" priority="42" operator="containsText" aboveAverage="0" equalAverage="0" bottom="0" percent="0" rank="0" text="produzindo" dxfId="943">
      <formula>NOT(ISERROR(SEARCH("produzindo",N41)))</formula>
    </cfRule>
    <cfRule type="containsText" priority="43" operator="containsText" aboveAverage="0" equalAverage="0" bottom="0" percent="0" rank="0" text="material ok" dxfId="944">
      <formula>NOT(ISERROR(SEARCH("material ok",N41)))</formula>
    </cfRule>
    <cfRule type="containsText" priority="44" operator="containsText" aboveAverage="0" equalAverage="0" bottom="0" percent="0" rank="0" text="a montar" dxfId="945">
      <formula>NOT(ISERROR(SEARCH("a montar",N41)))</formula>
    </cfRule>
    <cfRule type="containsText" priority="45" operator="containsText" aboveAverage="0" equalAverage="0" bottom="0" percent="0" rank="0" text="a serrar" dxfId="946">
      <formula>NOT(ISERROR(SEARCH("a serrar",N41)))</formula>
    </cfRule>
    <cfRule type="containsText" priority="46" operator="containsText" aboveAverage="0" equalAverage="0" bottom="0" percent="0" rank="0" text="pronto" dxfId="947">
      <formula>NOT(ISERROR(SEARCH("pronto",N41)))</formula>
    </cfRule>
    <cfRule type="containsText" priority="47" operator="containsText" aboveAverage="0" equalAverage="0" bottom="0" percent="0" rank="0" text="empreita" dxfId="948">
      <formula>NOT(ISERROR(SEARCH("empreita",N41)))</formula>
    </cfRule>
    <cfRule type="containsText" priority="48" operator="containsText" aboveAverage="0" equalAverage="0" bottom="0" percent="0" rank="0" text="previsto" dxfId="949">
      <formula>NOT(ISERROR(SEARCH("previsto",N41)))</formula>
    </cfRule>
    <cfRule type="containsText" priority="49" operator="containsText" aboveAverage="0" equalAverage="0" bottom="0" percent="0" rank="0" text="produzindo" dxfId="950">
      <formula>NOT(ISERROR(SEARCH("produzindo",N41)))</formula>
    </cfRule>
    <cfRule type="containsText" priority="50" operator="containsText" aboveAverage="0" equalAverage="0" bottom="0" percent="0" rank="0" text="material ok" dxfId="951">
      <formula>NOT(ISERROR(SEARCH("material ok",N41)))</formula>
    </cfRule>
  </conditionalFormatting>
  <conditionalFormatting sqref="N65">
    <cfRule type="containsText" priority="51" operator="containsText" aboveAverage="0" equalAverage="0" bottom="0" percent="0" rank="0" text="a montar" dxfId="952">
      <formula>NOT(ISERROR(SEARCH("a montar",N65)))</formula>
    </cfRule>
    <cfRule type="containsText" priority="52" operator="containsText" aboveAverage="0" equalAverage="0" bottom="0" percent="0" rank="0" text="a serrar" dxfId="953">
      <formula>NOT(ISERROR(SEARCH("a serrar",N65)))</formula>
    </cfRule>
    <cfRule type="containsText" priority="53" operator="containsText" aboveAverage="0" equalAverage="0" bottom="0" percent="0" rank="0" text="pronto" dxfId="954">
      <formula>NOT(ISERROR(SEARCH("pronto",N65)))</formula>
    </cfRule>
    <cfRule type="containsText" priority="54" operator="containsText" aboveAverage="0" equalAverage="0" bottom="0" percent="0" rank="0" text="empreita" dxfId="955">
      <formula>NOT(ISERROR(SEARCH("empreita",N65)))</formula>
    </cfRule>
    <cfRule type="containsText" priority="55" operator="containsText" aboveAverage="0" equalAverage="0" bottom="0" percent="0" rank="0" text="previsto" dxfId="956">
      <formula>NOT(ISERROR(SEARCH("previsto",N65)))</formula>
    </cfRule>
    <cfRule type="containsText" priority="56" operator="containsText" aboveAverage="0" equalAverage="0" bottom="0" percent="0" rank="0" text="produzindo" dxfId="957">
      <formula>NOT(ISERROR(SEARCH("produzindo",N65)))</formula>
    </cfRule>
    <cfRule type="containsText" priority="57" operator="containsText" aboveAverage="0" equalAverage="0" bottom="0" percent="0" rank="0" text="material ok" dxfId="958">
      <formula>NOT(ISERROR(SEARCH("material ok",N65)))</formula>
    </cfRule>
    <cfRule type="containsText" priority="58" operator="containsText" aboveAverage="0" equalAverage="0" bottom="0" percent="0" rank="0" text="a montar" dxfId="959">
      <formula>NOT(ISERROR(SEARCH("a montar",N65)))</formula>
    </cfRule>
    <cfRule type="containsText" priority="59" operator="containsText" aboveAverage="0" equalAverage="0" bottom="0" percent="0" rank="0" text="a serrar" dxfId="960">
      <formula>NOT(ISERROR(SEARCH("a serrar",N65)))</formula>
    </cfRule>
    <cfRule type="containsText" priority="60" operator="containsText" aboveAverage="0" equalAverage="0" bottom="0" percent="0" rank="0" text="pronto" dxfId="961">
      <formula>NOT(ISERROR(SEARCH("pronto",N65)))</formula>
    </cfRule>
    <cfRule type="containsText" priority="61" operator="containsText" aboveAverage="0" equalAverage="0" bottom="0" percent="0" rank="0" text="empreita" dxfId="962">
      <formula>NOT(ISERROR(SEARCH("empreita",N65)))</formula>
    </cfRule>
    <cfRule type="containsText" priority="62" operator="containsText" aboveAverage="0" equalAverage="0" bottom="0" percent="0" rank="0" text="previsto" dxfId="963">
      <formula>NOT(ISERROR(SEARCH("previsto",N65)))</formula>
    </cfRule>
    <cfRule type="containsText" priority="63" operator="containsText" aboveAverage="0" equalAverage="0" bottom="0" percent="0" rank="0" text="produzindo" dxfId="964">
      <formula>NOT(ISERROR(SEARCH("produzindo",N65)))</formula>
    </cfRule>
    <cfRule type="containsText" priority="64" operator="containsText" aboveAverage="0" equalAverage="0" bottom="0" percent="0" rank="0" text="material ok" dxfId="965">
      <formula>NOT(ISERROR(SEARCH("material ok",N65)))</formula>
    </cfRule>
    <cfRule type="containsText" priority="65" operator="containsText" aboveAverage="0" equalAverage="0" bottom="0" percent="0" rank="0" text="a montar" dxfId="966">
      <formula>NOT(ISERROR(SEARCH("a montar",N65)))</formula>
    </cfRule>
    <cfRule type="containsText" priority="66" operator="containsText" aboveAverage="0" equalAverage="0" bottom="0" percent="0" rank="0" text="a serrar" dxfId="967">
      <formula>NOT(ISERROR(SEARCH("a serrar",N65)))</formula>
    </cfRule>
    <cfRule type="containsText" priority="67" operator="containsText" aboveAverage="0" equalAverage="0" bottom="0" percent="0" rank="0" text="pronto" dxfId="968">
      <formula>NOT(ISERROR(SEARCH("pronto",N65)))</formula>
    </cfRule>
    <cfRule type="containsText" priority="68" operator="containsText" aboveAverage="0" equalAverage="0" bottom="0" percent="0" rank="0" text="empreita" dxfId="969">
      <formula>NOT(ISERROR(SEARCH("empreita",N65)))</formula>
    </cfRule>
    <cfRule type="containsText" priority="69" operator="containsText" aboveAverage="0" equalAverage="0" bottom="0" percent="0" rank="0" text="previsto" dxfId="970">
      <formula>NOT(ISERROR(SEARCH("previsto",N65)))</formula>
    </cfRule>
    <cfRule type="containsText" priority="70" operator="containsText" aboveAverage="0" equalAverage="0" bottom="0" percent="0" rank="0" text="produzindo" dxfId="971">
      <formula>NOT(ISERROR(SEARCH("produzindo",N65)))</formula>
    </cfRule>
    <cfRule type="containsText" priority="71" operator="containsText" aboveAverage="0" equalAverage="0" bottom="0" percent="0" rank="0" text="material ok" dxfId="972">
      <formula>NOT(ISERROR(SEARCH("material ok",N65)))</formula>
    </cfRule>
    <cfRule type="containsText" priority="72" operator="containsText" aboveAverage="0" equalAverage="0" bottom="0" percent="0" rank="0" text="a montar" dxfId="973">
      <formula>NOT(ISERROR(SEARCH("a montar",N65)))</formula>
    </cfRule>
    <cfRule type="containsText" priority="73" operator="containsText" aboveAverage="0" equalAverage="0" bottom="0" percent="0" rank="0" text="a serrar" dxfId="974">
      <formula>NOT(ISERROR(SEARCH("a serrar",N65)))</formula>
    </cfRule>
    <cfRule type="containsText" priority="74" operator="containsText" aboveAverage="0" equalAverage="0" bottom="0" percent="0" rank="0" text="pronto" dxfId="975">
      <formula>NOT(ISERROR(SEARCH("pronto",N65)))</formula>
    </cfRule>
    <cfRule type="containsText" priority="75" operator="containsText" aboveAverage="0" equalAverage="0" bottom="0" percent="0" rank="0" text="empreita" dxfId="976">
      <formula>NOT(ISERROR(SEARCH("empreita",N65)))</formula>
    </cfRule>
    <cfRule type="containsText" priority="76" operator="containsText" aboveAverage="0" equalAverage="0" bottom="0" percent="0" rank="0" text="previsto" dxfId="977">
      <formula>NOT(ISERROR(SEARCH("previsto",N65)))</formula>
    </cfRule>
    <cfRule type="containsText" priority="77" operator="containsText" aboveAverage="0" equalAverage="0" bottom="0" percent="0" rank="0" text="produzindo" dxfId="978">
      <formula>NOT(ISERROR(SEARCH("produzindo",N65)))</formula>
    </cfRule>
    <cfRule type="containsText" priority="78" operator="containsText" aboveAverage="0" equalAverage="0" bottom="0" percent="0" rank="0" text="material ok" dxfId="979">
      <formula>NOT(ISERROR(SEARCH("material ok",N65)))</formula>
    </cfRule>
  </conditionalFormatting>
  <conditionalFormatting sqref="N72">
    <cfRule type="containsText" priority="79" operator="containsText" aboveAverage="0" equalAverage="0" bottom="0" percent="0" rank="0" text="a montar" dxfId="980">
      <formula>NOT(ISERROR(SEARCH("a montar",N72)))</formula>
    </cfRule>
    <cfRule type="containsText" priority="80" operator="containsText" aboveAverage="0" equalAverage="0" bottom="0" percent="0" rank="0" text="a serrar" dxfId="981">
      <formula>NOT(ISERROR(SEARCH("a serrar",N72)))</formula>
    </cfRule>
    <cfRule type="containsText" priority="81" operator="containsText" aboveAverage="0" equalAverage="0" bottom="0" percent="0" rank="0" text="pronto" dxfId="982">
      <formula>NOT(ISERROR(SEARCH("pronto",N72)))</formula>
    </cfRule>
    <cfRule type="containsText" priority="82" operator="containsText" aboveAverage="0" equalAverage="0" bottom="0" percent="0" rank="0" text="empreita" dxfId="983">
      <formula>NOT(ISERROR(SEARCH("empreita",N72)))</formula>
    </cfRule>
    <cfRule type="containsText" priority="83" operator="containsText" aboveAverage="0" equalAverage="0" bottom="0" percent="0" rank="0" text="previsto" dxfId="984">
      <formula>NOT(ISERROR(SEARCH("previsto",N72)))</formula>
    </cfRule>
    <cfRule type="containsText" priority="84" operator="containsText" aboveAverage="0" equalAverage="0" bottom="0" percent="0" rank="0" text="produzindo" dxfId="985">
      <formula>NOT(ISERROR(SEARCH("produzindo",N72)))</formula>
    </cfRule>
    <cfRule type="containsText" priority="85" operator="containsText" aboveAverage="0" equalAverage="0" bottom="0" percent="0" rank="0" text="material ok" dxfId="986">
      <formula>NOT(ISERROR(SEARCH("material ok",N72)))</formula>
    </cfRule>
    <cfRule type="containsText" priority="86" operator="containsText" aboveAverage="0" equalAverage="0" bottom="0" percent="0" rank="0" text="a montar" dxfId="987">
      <formula>NOT(ISERROR(SEARCH("a montar",N72)))</formula>
    </cfRule>
    <cfRule type="containsText" priority="87" operator="containsText" aboveAverage="0" equalAverage="0" bottom="0" percent="0" rank="0" text="a serrar" dxfId="988">
      <formula>NOT(ISERROR(SEARCH("a serrar",N72)))</formula>
    </cfRule>
    <cfRule type="containsText" priority="88" operator="containsText" aboveAverage="0" equalAverage="0" bottom="0" percent="0" rank="0" text="pronto" dxfId="989">
      <formula>NOT(ISERROR(SEARCH("pronto",N72)))</formula>
    </cfRule>
    <cfRule type="containsText" priority="89" operator="containsText" aboveAverage="0" equalAverage="0" bottom="0" percent="0" rank="0" text="empreita" dxfId="990">
      <formula>NOT(ISERROR(SEARCH("empreita",N72)))</formula>
    </cfRule>
    <cfRule type="containsText" priority="90" operator="containsText" aboveAverage="0" equalAverage="0" bottom="0" percent="0" rank="0" text="previsto" dxfId="991">
      <formula>NOT(ISERROR(SEARCH("previsto",N72)))</formula>
    </cfRule>
    <cfRule type="containsText" priority="91" operator="containsText" aboveAverage="0" equalAverage="0" bottom="0" percent="0" rank="0" text="produzindo" dxfId="992">
      <formula>NOT(ISERROR(SEARCH("produzindo",N72)))</formula>
    </cfRule>
    <cfRule type="containsText" priority="92" operator="containsText" aboveAverage="0" equalAverage="0" bottom="0" percent="0" rank="0" text="material ok" dxfId="993">
      <formula>NOT(ISERROR(SEARCH("material ok",N72)))</formula>
    </cfRule>
    <cfRule type="containsText" priority="93" operator="containsText" aboveAverage="0" equalAverage="0" bottom="0" percent="0" rank="0" text="a montar" dxfId="994">
      <formula>NOT(ISERROR(SEARCH("a montar",N72)))</formula>
    </cfRule>
    <cfRule type="containsText" priority="94" operator="containsText" aboveAverage="0" equalAverage="0" bottom="0" percent="0" rank="0" text="a serrar" dxfId="995">
      <formula>NOT(ISERROR(SEARCH("a serrar",N72)))</formula>
    </cfRule>
    <cfRule type="containsText" priority="95" operator="containsText" aboveAverage="0" equalAverage="0" bottom="0" percent="0" rank="0" text="pronto" dxfId="996">
      <formula>NOT(ISERROR(SEARCH("pronto",N72)))</formula>
    </cfRule>
    <cfRule type="containsText" priority="96" operator="containsText" aboveAverage="0" equalAverage="0" bottom="0" percent="0" rank="0" text="empreita" dxfId="997">
      <formula>NOT(ISERROR(SEARCH("empreita",N72)))</formula>
    </cfRule>
    <cfRule type="containsText" priority="97" operator="containsText" aboveAverage="0" equalAverage="0" bottom="0" percent="0" rank="0" text="previsto" dxfId="998">
      <formula>NOT(ISERROR(SEARCH("previsto",N72)))</formula>
    </cfRule>
    <cfRule type="containsText" priority="98" operator="containsText" aboveAverage="0" equalAverage="0" bottom="0" percent="0" rank="0" text="produzindo" dxfId="999">
      <formula>NOT(ISERROR(SEARCH("produzindo",N72)))</formula>
    </cfRule>
    <cfRule type="containsText" priority="99" operator="containsText" aboveAverage="0" equalAverage="0" bottom="0" percent="0" rank="0" text="material ok" dxfId="1000">
      <formula>NOT(ISERROR(SEARCH("material ok",N72)))</formula>
    </cfRule>
    <cfRule type="containsText" priority="100" operator="containsText" aboveAverage="0" equalAverage="0" bottom="0" percent="0" rank="0" text="a montar" dxfId="1001">
      <formula>NOT(ISERROR(SEARCH("a montar",N72)))</formula>
    </cfRule>
    <cfRule type="containsText" priority="101" operator="containsText" aboveAverage="0" equalAverage="0" bottom="0" percent="0" rank="0" text="a serrar" dxfId="1002">
      <formula>NOT(ISERROR(SEARCH("a serrar",N72)))</formula>
    </cfRule>
    <cfRule type="containsText" priority="102" operator="containsText" aboveAverage="0" equalAverage="0" bottom="0" percent="0" rank="0" text="pronto" dxfId="1003">
      <formula>NOT(ISERROR(SEARCH("pronto",N72)))</formula>
    </cfRule>
    <cfRule type="containsText" priority="103" operator="containsText" aboveAverage="0" equalAverage="0" bottom="0" percent="0" rank="0" text="empreita" dxfId="1004">
      <formula>NOT(ISERROR(SEARCH("empreita",N72)))</formula>
    </cfRule>
    <cfRule type="containsText" priority="104" operator="containsText" aboveAverage="0" equalAverage="0" bottom="0" percent="0" rank="0" text="previsto" dxfId="1005">
      <formula>NOT(ISERROR(SEARCH("previsto",N72)))</formula>
    </cfRule>
    <cfRule type="containsText" priority="105" operator="containsText" aboveAverage="0" equalAverage="0" bottom="0" percent="0" rank="0" text="produzindo" dxfId="1006">
      <formula>NOT(ISERROR(SEARCH("produzindo",N72)))</formula>
    </cfRule>
    <cfRule type="containsText" priority="106" operator="containsText" aboveAverage="0" equalAverage="0" bottom="0" percent="0" rank="0" text="material ok" dxfId="1007">
      <formula>NOT(ISERROR(SEARCH("material ok",N72)))</formula>
    </cfRule>
    <cfRule type="containsText" priority="107" operator="containsText" aboveAverage="0" equalAverage="0" bottom="0" percent="0" rank="0" text="a serrar" dxfId="1008">
      <formula>NOT(ISERROR(SEARCH("a serrar",N72)))</formula>
    </cfRule>
    <cfRule type="containsText" priority="108" operator="containsText" aboveAverage="0" equalAverage="0" bottom="0" percent="0" rank="0" text="pronto" dxfId="1009">
      <formula>NOT(ISERROR(SEARCH("pronto",N72)))</formula>
    </cfRule>
    <cfRule type="containsText" priority="109" operator="containsText" aboveAverage="0" equalAverage="0" bottom="0" percent="0" rank="0" text="empreita" dxfId="1010">
      <formula>NOT(ISERROR(SEARCH("empreita",N72)))</formula>
    </cfRule>
    <cfRule type="containsText" priority="110" operator="containsText" aboveAverage="0" equalAverage="0" bottom="0" percent="0" rank="0" text="previsto" dxfId="1011">
      <formula>NOT(ISERROR(SEARCH("previsto",N72)))</formula>
    </cfRule>
    <cfRule type="containsText" priority="111" operator="containsText" aboveAverage="0" equalAverage="0" bottom="0" percent="0" rank="0" text="produzindo" dxfId="1012">
      <formula>NOT(ISERROR(SEARCH("produzindo",N72)))</formula>
    </cfRule>
    <cfRule type="containsText" priority="112" operator="containsText" aboveAverage="0" equalAverage="0" bottom="0" percent="0" rank="0" text="material ok" dxfId="1013">
      <formula>NOT(ISERROR(SEARCH("material ok",N72)))</formula>
    </cfRule>
    <cfRule type="containsText" priority="113" operator="containsText" aboveAverage="0" equalAverage="0" bottom="0" percent="0" rank="0" text="a serrar" dxfId="1014">
      <formula>NOT(ISERROR(SEARCH("a serrar",N72)))</formula>
    </cfRule>
    <cfRule type="containsText" priority="114" operator="containsText" aboveAverage="0" equalAverage="0" bottom="0" percent="0" rank="0" text="pronto" dxfId="1015">
      <formula>NOT(ISERROR(SEARCH("pronto",N72)))</formula>
    </cfRule>
    <cfRule type="containsText" priority="115" operator="containsText" aboveAverage="0" equalAverage="0" bottom="0" percent="0" rank="0" text="empreita" dxfId="1016">
      <formula>NOT(ISERROR(SEARCH("empreita",N72)))</formula>
    </cfRule>
    <cfRule type="containsText" priority="116" operator="containsText" aboveAverage="0" equalAverage="0" bottom="0" percent="0" rank="0" text="previsto" dxfId="1017">
      <formula>NOT(ISERROR(SEARCH("previsto",N72)))</formula>
    </cfRule>
    <cfRule type="containsText" priority="117" operator="containsText" aboveAverage="0" equalAverage="0" bottom="0" percent="0" rank="0" text="produzindo" dxfId="1018">
      <formula>NOT(ISERROR(SEARCH("produzindo",N72)))</formula>
    </cfRule>
    <cfRule type="containsText" priority="118" operator="containsText" aboveAverage="0" equalAverage="0" bottom="0" percent="0" rank="0" text="material ok" dxfId="1019">
      <formula>NOT(ISERROR(SEARCH("material ok",N72)))</formula>
    </cfRule>
    <cfRule type="containsText" priority="119" operator="containsText" aboveAverage="0" equalAverage="0" bottom="0" percent="0" rank="0" text="a montar" dxfId="1020">
      <formula>NOT(ISERROR(SEARCH("a montar",N72)))</formula>
    </cfRule>
    <cfRule type="containsText" priority="120" operator="containsText" aboveAverage="0" equalAverage="0" bottom="0" percent="0" rank="0" text="a serrar" dxfId="1021">
      <formula>NOT(ISERROR(SEARCH("a serrar",N72)))</formula>
    </cfRule>
    <cfRule type="containsText" priority="121" operator="containsText" aboveAverage="0" equalAverage="0" bottom="0" percent="0" rank="0" text="pronto" dxfId="1022">
      <formula>NOT(ISERROR(SEARCH("pronto",N72)))</formula>
    </cfRule>
    <cfRule type="containsText" priority="122" operator="containsText" aboveAverage="0" equalAverage="0" bottom="0" percent="0" rank="0" text="empreita" dxfId="1023">
      <formula>NOT(ISERROR(SEARCH("empreita",N72)))</formula>
    </cfRule>
    <cfRule type="containsText" priority="123" operator="containsText" aboveAverage="0" equalAverage="0" bottom="0" percent="0" rank="0" text="previsto" dxfId="1024">
      <formula>NOT(ISERROR(SEARCH("previsto",N72)))</formula>
    </cfRule>
    <cfRule type="containsText" priority="124" operator="containsText" aboveAverage="0" equalAverage="0" bottom="0" percent="0" rank="0" text="produzindo" dxfId="1025">
      <formula>NOT(ISERROR(SEARCH("produzindo",N72)))</formula>
    </cfRule>
    <cfRule type="containsText" priority="125" operator="containsText" aboveAverage="0" equalAverage="0" bottom="0" percent="0" rank="0" text="material ok" dxfId="1026">
      <formula>NOT(ISERROR(SEARCH("material ok",N72)))</formula>
    </cfRule>
    <cfRule type="containsText" priority="126" operator="containsText" aboveAverage="0" equalAverage="0" bottom="0" percent="0" rank="0" text="a montar" dxfId="1027">
      <formula>NOT(ISERROR(SEARCH("a montar",N72)))</formula>
    </cfRule>
    <cfRule type="containsText" priority="127" operator="containsText" aboveAverage="0" equalAverage="0" bottom="0" percent="0" rank="0" text="a serrar" dxfId="1028">
      <formula>NOT(ISERROR(SEARCH("a serrar",N72)))</formula>
    </cfRule>
    <cfRule type="containsText" priority="128" operator="containsText" aboveAverage="0" equalAverage="0" bottom="0" percent="0" rank="0" text="pronto" dxfId="1029">
      <formula>NOT(ISERROR(SEARCH("pronto",N72)))</formula>
    </cfRule>
    <cfRule type="containsText" priority="129" operator="containsText" aboveAverage="0" equalAverage="0" bottom="0" percent="0" rank="0" text="empreita" dxfId="1030">
      <formula>NOT(ISERROR(SEARCH("empreita",N72)))</formula>
    </cfRule>
    <cfRule type="containsText" priority="130" operator="containsText" aboveAverage="0" equalAverage="0" bottom="0" percent="0" rank="0" text="previsto" dxfId="1031">
      <formula>NOT(ISERROR(SEARCH("previsto",N72)))</formula>
    </cfRule>
    <cfRule type="containsText" priority="131" operator="containsText" aboveAverage="0" equalAverage="0" bottom="0" percent="0" rank="0" text="produzindo" dxfId="1032">
      <formula>NOT(ISERROR(SEARCH("produzindo",N72)))</formula>
    </cfRule>
    <cfRule type="containsText" priority="132" operator="containsText" aboveAverage="0" equalAverage="0" bottom="0" percent="0" rank="0" text="material ok" dxfId="1033">
      <formula>NOT(ISERROR(SEARCH("material ok",N72)))</formula>
    </cfRule>
    <cfRule type="containsText" priority="133" operator="containsText" aboveAverage="0" equalAverage="0" bottom="0" percent="0" rank="0" text="a montar" dxfId="1034">
      <formula>NOT(ISERROR(SEARCH("a montar",N72)))</formula>
    </cfRule>
    <cfRule type="containsText" priority="134" operator="containsText" aboveAverage="0" equalAverage="0" bottom="0" percent="0" rank="0" text="a serrar" dxfId="1035">
      <formula>NOT(ISERROR(SEARCH("a serrar",N72)))</formula>
    </cfRule>
    <cfRule type="containsText" priority="135" operator="containsText" aboveAverage="0" equalAverage="0" bottom="0" percent="0" rank="0" text="pronto" dxfId="1036">
      <formula>NOT(ISERROR(SEARCH("pronto",N72)))</formula>
    </cfRule>
    <cfRule type="containsText" priority="136" operator="containsText" aboveAverage="0" equalAverage="0" bottom="0" percent="0" rank="0" text="empreita" dxfId="1037">
      <formula>NOT(ISERROR(SEARCH("empreita",N72)))</formula>
    </cfRule>
    <cfRule type="containsText" priority="137" operator="containsText" aboveAverage="0" equalAverage="0" bottom="0" percent="0" rank="0" text="previsto" dxfId="1038">
      <formula>NOT(ISERROR(SEARCH("previsto",N72)))</formula>
    </cfRule>
    <cfRule type="containsText" priority="138" operator="containsText" aboveAverage="0" equalAverage="0" bottom="0" percent="0" rank="0" text="produzindo" dxfId="1039">
      <formula>NOT(ISERROR(SEARCH("produzindo",N72)))</formula>
    </cfRule>
    <cfRule type="containsText" priority="139" operator="containsText" aboveAverage="0" equalAverage="0" bottom="0" percent="0" rank="0" text="material ok" dxfId="1040">
      <formula>NOT(ISERROR(SEARCH("material ok",N72)))</formula>
    </cfRule>
    <cfRule type="containsText" priority="140" operator="containsText" aboveAverage="0" equalAverage="0" bottom="0" percent="0" rank="0" text="a montar" dxfId="1041">
      <formula>NOT(ISERROR(SEARCH("a montar",N72)))</formula>
    </cfRule>
    <cfRule type="containsText" priority="141" operator="containsText" aboveAverage="0" equalAverage="0" bottom="0" percent="0" rank="0" text="a serrar" dxfId="1042">
      <formula>NOT(ISERROR(SEARCH("a serrar",N72)))</formula>
    </cfRule>
    <cfRule type="containsText" priority="142" operator="containsText" aboveAverage="0" equalAverage="0" bottom="0" percent="0" rank="0" text="pronto" dxfId="1043">
      <formula>NOT(ISERROR(SEARCH("pronto",N72)))</formula>
    </cfRule>
    <cfRule type="containsText" priority="143" operator="containsText" aboveAverage="0" equalAverage="0" bottom="0" percent="0" rank="0" text="empreita" dxfId="1044">
      <formula>NOT(ISERROR(SEARCH("empreita",N72)))</formula>
    </cfRule>
    <cfRule type="containsText" priority="144" operator="containsText" aboveAverage="0" equalAverage="0" bottom="0" percent="0" rank="0" text="previsto" dxfId="1045">
      <formula>NOT(ISERROR(SEARCH("previsto",N72)))</formula>
    </cfRule>
    <cfRule type="containsText" priority="145" operator="containsText" aboveAverage="0" equalAverage="0" bottom="0" percent="0" rank="0" text="produzindo" dxfId="1046">
      <formula>NOT(ISERROR(SEARCH("produzindo",N72)))</formula>
    </cfRule>
    <cfRule type="containsText" priority="146" operator="containsText" aboveAverage="0" equalAverage="0" bottom="0" percent="0" rank="0" text="material ok" dxfId="1047">
      <formula>NOT(ISERROR(SEARCH("material ok",N72)))</formula>
    </cfRule>
    <cfRule type="containsText" priority="147" operator="containsText" aboveAverage="0" equalAverage="0" bottom="0" percent="0" rank="0" text="a serrar" dxfId="1048">
      <formula>NOT(ISERROR(SEARCH("a serrar",N72)))</formula>
    </cfRule>
    <cfRule type="containsText" priority="148" operator="containsText" aboveAverage="0" equalAverage="0" bottom="0" percent="0" rank="0" text="pronto" dxfId="1049">
      <formula>NOT(ISERROR(SEARCH("pronto",N72)))</formula>
    </cfRule>
    <cfRule type="containsText" priority="149" operator="containsText" aboveAverage="0" equalAverage="0" bottom="0" percent="0" rank="0" text="empreita" dxfId="1050">
      <formula>NOT(ISERROR(SEARCH("empreita",N72)))</formula>
    </cfRule>
    <cfRule type="containsText" priority="150" operator="containsText" aboveAverage="0" equalAverage="0" bottom="0" percent="0" rank="0" text="previsto" dxfId="1051">
      <formula>NOT(ISERROR(SEARCH("previsto",N72)))</formula>
    </cfRule>
    <cfRule type="containsText" priority="151" operator="containsText" aboveAverage="0" equalAverage="0" bottom="0" percent="0" rank="0" text="produzindo" dxfId="1052">
      <formula>NOT(ISERROR(SEARCH("produzindo",N72)))</formula>
    </cfRule>
    <cfRule type="containsText" priority="152" operator="containsText" aboveAverage="0" equalAverage="0" bottom="0" percent="0" rank="0" text="material ok" dxfId="1053">
      <formula>NOT(ISERROR(SEARCH("material ok",N72)))</formula>
    </cfRule>
    <cfRule type="containsText" priority="153" operator="containsText" aboveAverage="0" equalAverage="0" bottom="0" percent="0" rank="0" text="a serrar" dxfId="1054">
      <formula>NOT(ISERROR(SEARCH("a serrar",N72)))</formula>
    </cfRule>
    <cfRule type="containsText" priority="154" operator="containsText" aboveAverage="0" equalAverage="0" bottom="0" percent="0" rank="0" text="pronto" dxfId="1055">
      <formula>NOT(ISERROR(SEARCH("pronto",N72)))</formula>
    </cfRule>
    <cfRule type="containsText" priority="155" operator="containsText" aboveAverage="0" equalAverage="0" bottom="0" percent="0" rank="0" text="empreita" dxfId="1056">
      <formula>NOT(ISERROR(SEARCH("empreita",N72)))</formula>
    </cfRule>
    <cfRule type="containsText" priority="156" operator="containsText" aboveAverage="0" equalAverage="0" bottom="0" percent="0" rank="0" text="previsto" dxfId="1057">
      <formula>NOT(ISERROR(SEARCH("previsto",N72)))</formula>
    </cfRule>
    <cfRule type="containsText" priority="157" operator="containsText" aboveAverage="0" equalAverage="0" bottom="0" percent="0" rank="0" text="produzindo" dxfId="1058">
      <formula>NOT(ISERROR(SEARCH("produzindo",N72)))</formula>
    </cfRule>
    <cfRule type="containsText" priority="158" operator="containsText" aboveAverage="0" equalAverage="0" bottom="0" percent="0" rank="0" text="material ok" dxfId="1059">
      <formula>NOT(ISERROR(SEARCH("material ok",N72)))</formula>
    </cfRule>
  </conditionalFormatting>
  <conditionalFormatting sqref="N75">
    <cfRule type="containsText" priority="159" operator="containsText" aboveAverage="0" equalAverage="0" bottom="0" percent="0" rank="0" text="a montar" dxfId="1060">
      <formula>NOT(ISERROR(SEARCH("a montar",N75)))</formula>
    </cfRule>
    <cfRule type="containsText" priority="160" operator="containsText" aboveAverage="0" equalAverage="0" bottom="0" percent="0" rank="0" text="a serrar" dxfId="1061">
      <formula>NOT(ISERROR(SEARCH("a serrar",N75)))</formula>
    </cfRule>
    <cfRule type="containsText" priority="161" operator="containsText" aboveAverage="0" equalAverage="0" bottom="0" percent="0" rank="0" text="pronto" dxfId="1062">
      <formula>NOT(ISERROR(SEARCH("pronto",N75)))</formula>
    </cfRule>
    <cfRule type="containsText" priority="162" operator="containsText" aboveAverage="0" equalAverage="0" bottom="0" percent="0" rank="0" text="empreita" dxfId="1063">
      <formula>NOT(ISERROR(SEARCH("empreita",N75)))</formula>
    </cfRule>
    <cfRule type="containsText" priority="163" operator="containsText" aboveAverage="0" equalAverage="0" bottom="0" percent="0" rank="0" text="previsto" dxfId="1064">
      <formula>NOT(ISERROR(SEARCH("previsto",N75)))</formula>
    </cfRule>
    <cfRule type="containsText" priority="164" operator="containsText" aboveAverage="0" equalAverage="0" bottom="0" percent="0" rank="0" text="produzindo" dxfId="1065">
      <formula>NOT(ISERROR(SEARCH("produzindo",N75)))</formula>
    </cfRule>
    <cfRule type="containsText" priority="165" operator="containsText" aboveAverage="0" equalAverage="0" bottom="0" percent="0" rank="0" text="material ok" dxfId="1066">
      <formula>NOT(ISERROR(SEARCH("material ok",N75)))</formula>
    </cfRule>
    <cfRule type="containsText" priority="166" operator="containsText" aboveAverage="0" equalAverage="0" bottom="0" percent="0" rank="0" text="a montar" dxfId="1067">
      <formula>NOT(ISERROR(SEARCH("a montar",N75)))</formula>
    </cfRule>
    <cfRule type="containsText" priority="167" operator="containsText" aboveAverage="0" equalAverage="0" bottom="0" percent="0" rank="0" text="a serrar" dxfId="1068">
      <formula>NOT(ISERROR(SEARCH("a serrar",N75)))</formula>
    </cfRule>
    <cfRule type="containsText" priority="168" operator="containsText" aboveAverage="0" equalAverage="0" bottom="0" percent="0" rank="0" text="pronto" dxfId="1069">
      <formula>NOT(ISERROR(SEARCH("pronto",N75)))</formula>
    </cfRule>
    <cfRule type="containsText" priority="169" operator="containsText" aboveAverage="0" equalAverage="0" bottom="0" percent="0" rank="0" text="empreita" dxfId="1070">
      <formula>NOT(ISERROR(SEARCH("empreita",N75)))</formula>
    </cfRule>
    <cfRule type="containsText" priority="170" operator="containsText" aboveAverage="0" equalAverage="0" bottom="0" percent="0" rank="0" text="previsto" dxfId="1071">
      <formula>NOT(ISERROR(SEARCH("previsto",N75)))</formula>
    </cfRule>
    <cfRule type="containsText" priority="171" operator="containsText" aboveAverage="0" equalAverage="0" bottom="0" percent="0" rank="0" text="produzindo" dxfId="1072">
      <formula>NOT(ISERROR(SEARCH("produzindo",N75)))</formula>
    </cfRule>
    <cfRule type="containsText" priority="172" operator="containsText" aboveAverage="0" equalAverage="0" bottom="0" percent="0" rank="0" text="material ok" dxfId="1073">
      <formula>NOT(ISERROR(SEARCH("material ok",N75)))</formula>
    </cfRule>
    <cfRule type="containsText" priority="173" operator="containsText" aboveAverage="0" equalAverage="0" bottom="0" percent="0" rank="0" text="a montar" dxfId="1074">
      <formula>NOT(ISERROR(SEARCH("a montar",N75)))</formula>
    </cfRule>
    <cfRule type="containsText" priority="174" operator="containsText" aboveAverage="0" equalAverage="0" bottom="0" percent="0" rank="0" text="a serrar" dxfId="1075">
      <formula>NOT(ISERROR(SEARCH("a serrar",N75)))</formula>
    </cfRule>
    <cfRule type="containsText" priority="175" operator="containsText" aboveAverage="0" equalAverage="0" bottom="0" percent="0" rank="0" text="pronto" dxfId="1076">
      <formula>NOT(ISERROR(SEARCH("pronto",N75)))</formula>
    </cfRule>
    <cfRule type="containsText" priority="176" operator="containsText" aboveAverage="0" equalAverage="0" bottom="0" percent="0" rank="0" text="empreita" dxfId="1077">
      <formula>NOT(ISERROR(SEARCH("empreita",N75)))</formula>
    </cfRule>
    <cfRule type="containsText" priority="177" operator="containsText" aboveAverage="0" equalAverage="0" bottom="0" percent="0" rank="0" text="previsto" dxfId="1078">
      <formula>NOT(ISERROR(SEARCH("previsto",N75)))</formula>
    </cfRule>
    <cfRule type="containsText" priority="178" operator="containsText" aboveAverage="0" equalAverage="0" bottom="0" percent="0" rank="0" text="produzindo" dxfId="1079">
      <formula>NOT(ISERROR(SEARCH("produzindo",N75)))</formula>
    </cfRule>
    <cfRule type="containsText" priority="179" operator="containsText" aboveAverage="0" equalAverage="0" bottom="0" percent="0" rank="0" text="material ok" dxfId="1080">
      <formula>NOT(ISERROR(SEARCH("material ok",N75)))</formula>
    </cfRule>
    <cfRule type="containsText" priority="180" operator="containsText" aboveAverage="0" equalAverage="0" bottom="0" percent="0" rank="0" text="a serrar" dxfId="1081">
      <formula>NOT(ISERROR(SEARCH("a serrar",N75)))</formula>
    </cfRule>
    <cfRule type="containsText" priority="181" operator="containsText" aboveAverage="0" equalAverage="0" bottom="0" percent="0" rank="0" text="pronto" dxfId="1082">
      <formula>NOT(ISERROR(SEARCH("pronto",N75)))</formula>
    </cfRule>
    <cfRule type="containsText" priority="182" operator="containsText" aboveAverage="0" equalAverage="0" bottom="0" percent="0" rank="0" text="empreita" dxfId="1083">
      <formula>NOT(ISERROR(SEARCH("empreita",N75)))</formula>
    </cfRule>
    <cfRule type="containsText" priority="183" operator="containsText" aboveAverage="0" equalAverage="0" bottom="0" percent="0" rank="0" text="previsto" dxfId="1084">
      <formula>NOT(ISERROR(SEARCH("previsto",N75)))</formula>
    </cfRule>
    <cfRule type="containsText" priority="184" operator="containsText" aboveAverage="0" equalAverage="0" bottom="0" percent="0" rank="0" text="produzindo" dxfId="1085">
      <formula>NOT(ISERROR(SEARCH("produzindo",N75)))</formula>
    </cfRule>
    <cfRule type="containsText" priority="185" operator="containsText" aboveAverage="0" equalAverage="0" bottom="0" percent="0" rank="0" text="material ok" dxfId="1086">
      <formula>NOT(ISERROR(SEARCH("material ok",N75)))</formula>
    </cfRule>
    <cfRule type="containsText" priority="186" operator="containsText" aboveAverage="0" equalAverage="0" bottom="0" percent="0" rank="0" text="a serrar" dxfId="1087">
      <formula>NOT(ISERROR(SEARCH("a serrar",N75)))</formula>
    </cfRule>
    <cfRule type="containsText" priority="187" operator="containsText" aboveAverage="0" equalAverage="0" bottom="0" percent="0" rank="0" text="pronto" dxfId="1088">
      <formula>NOT(ISERROR(SEARCH("pronto",N75)))</formula>
    </cfRule>
    <cfRule type="containsText" priority="188" operator="containsText" aboveAverage="0" equalAverage="0" bottom="0" percent="0" rank="0" text="empreita" dxfId="1089">
      <formula>NOT(ISERROR(SEARCH("empreita",N75)))</formula>
    </cfRule>
    <cfRule type="containsText" priority="189" operator="containsText" aboveAverage="0" equalAverage="0" bottom="0" percent="0" rank="0" text="previsto" dxfId="1090">
      <formula>NOT(ISERROR(SEARCH("previsto",N75)))</formula>
    </cfRule>
    <cfRule type="containsText" priority="190" operator="containsText" aboveAverage="0" equalAverage="0" bottom="0" percent="0" rank="0" text="produzindo" dxfId="1091">
      <formula>NOT(ISERROR(SEARCH("produzindo",N75)))</formula>
    </cfRule>
    <cfRule type="containsText" priority="191" operator="containsText" aboveAverage="0" equalAverage="0" bottom="0" percent="0" rank="0" text="material ok" dxfId="1092">
      <formula>NOT(ISERROR(SEARCH("material ok",N75)))</formula>
    </cfRule>
  </conditionalFormatting>
  <conditionalFormatting sqref="N74:N75">
    <cfRule type="containsText" priority="192" operator="containsText" aboveAverage="0" equalAverage="0" bottom="0" percent="0" rank="0" text="a montar" dxfId="1093">
      <formula>NOT(ISERROR(SEARCH("a montar",N74)))</formula>
    </cfRule>
    <cfRule type="containsText" priority="193" operator="containsText" aboveAverage="0" equalAverage="0" bottom="0" percent="0" rank="0" text="a serrar" dxfId="1094">
      <formula>NOT(ISERROR(SEARCH("a serrar",N74)))</formula>
    </cfRule>
    <cfRule type="containsText" priority="194" operator="containsText" aboveAverage="0" equalAverage="0" bottom="0" percent="0" rank="0" text="pronto" dxfId="1095">
      <formula>NOT(ISERROR(SEARCH("pronto",N74)))</formula>
    </cfRule>
    <cfRule type="containsText" priority="195" operator="containsText" aboveAverage="0" equalAverage="0" bottom="0" percent="0" rank="0" text="empreita" dxfId="1096">
      <formula>NOT(ISERROR(SEARCH("empreita",N74)))</formula>
    </cfRule>
    <cfRule type="containsText" priority="196" operator="containsText" aboveAverage="0" equalAverage="0" bottom="0" percent="0" rank="0" text="previsto" dxfId="1097">
      <formula>NOT(ISERROR(SEARCH("previsto",N74)))</formula>
    </cfRule>
    <cfRule type="containsText" priority="197" operator="containsText" aboveAverage="0" equalAverage="0" bottom="0" percent="0" rank="0" text="produzindo" dxfId="1098">
      <formula>NOT(ISERROR(SEARCH("produzindo",N74)))</formula>
    </cfRule>
    <cfRule type="containsText" priority="198" operator="containsText" aboveAverage="0" equalAverage="0" bottom="0" percent="0" rank="0" text="material ok" dxfId="1099">
      <formula>NOT(ISERROR(SEARCH("material ok",N74)))</formula>
    </cfRule>
  </conditionalFormatting>
  <conditionalFormatting sqref="N74">
    <cfRule type="containsText" priority="199" operator="containsText" aboveAverage="0" equalAverage="0" bottom="0" percent="0" rank="0" text="a montar" dxfId="1100">
      <formula>NOT(ISERROR(SEARCH("a montar",N74)))</formula>
    </cfRule>
    <cfRule type="containsText" priority="200" operator="containsText" aboveAverage="0" equalAverage="0" bottom="0" percent="0" rank="0" text="a serrar" dxfId="1101">
      <formula>NOT(ISERROR(SEARCH("a serrar",N74)))</formula>
    </cfRule>
    <cfRule type="containsText" priority="201" operator="containsText" aboveAverage="0" equalAverage="0" bottom="0" percent="0" rank="0" text="pronto" dxfId="1102">
      <formula>NOT(ISERROR(SEARCH("pronto",N74)))</formula>
    </cfRule>
    <cfRule type="containsText" priority="202" operator="containsText" aboveAverage="0" equalAverage="0" bottom="0" percent="0" rank="0" text="empreita" dxfId="1103">
      <formula>NOT(ISERROR(SEARCH("empreita",N74)))</formula>
    </cfRule>
    <cfRule type="containsText" priority="203" operator="containsText" aboveAverage="0" equalAverage="0" bottom="0" percent="0" rank="0" text="previsto" dxfId="1104">
      <formula>NOT(ISERROR(SEARCH("previsto",N74)))</formula>
    </cfRule>
    <cfRule type="containsText" priority="204" operator="containsText" aboveAverage="0" equalAverage="0" bottom="0" percent="0" rank="0" text="produzindo" dxfId="1105">
      <formula>NOT(ISERROR(SEARCH("produzindo",N74)))</formula>
    </cfRule>
    <cfRule type="containsText" priority="205" operator="containsText" aboveAverage="0" equalAverage="0" bottom="0" percent="0" rank="0" text="material ok" dxfId="1106">
      <formula>NOT(ISERROR(SEARCH("material ok",N74)))</formula>
    </cfRule>
    <cfRule type="containsText" priority="206" operator="containsText" aboveAverage="0" equalAverage="0" bottom="0" percent="0" rank="0" text="a montar" dxfId="1107">
      <formula>NOT(ISERROR(SEARCH("a montar",N74)))</formula>
    </cfRule>
    <cfRule type="containsText" priority="207" operator="containsText" aboveAverage="0" equalAverage="0" bottom="0" percent="0" rank="0" text="a serrar" dxfId="1108">
      <formula>NOT(ISERROR(SEARCH("a serrar",N74)))</formula>
    </cfRule>
    <cfRule type="containsText" priority="208" operator="containsText" aboveAverage="0" equalAverage="0" bottom="0" percent="0" rank="0" text="pronto" dxfId="1109">
      <formula>NOT(ISERROR(SEARCH("pronto",N74)))</formula>
    </cfRule>
    <cfRule type="containsText" priority="209" operator="containsText" aboveAverage="0" equalAverage="0" bottom="0" percent="0" rank="0" text="empreita" dxfId="1110">
      <formula>NOT(ISERROR(SEARCH("empreita",N74)))</formula>
    </cfRule>
    <cfRule type="containsText" priority="210" operator="containsText" aboveAverage="0" equalAverage="0" bottom="0" percent="0" rank="0" text="previsto" dxfId="1111">
      <formula>NOT(ISERROR(SEARCH("previsto",N74)))</formula>
    </cfRule>
    <cfRule type="containsText" priority="211" operator="containsText" aboveAverage="0" equalAverage="0" bottom="0" percent="0" rank="0" text="produzindo" dxfId="1112">
      <formula>NOT(ISERROR(SEARCH("produzindo",N74)))</formula>
    </cfRule>
    <cfRule type="containsText" priority="212" operator="containsText" aboveAverage="0" equalAverage="0" bottom="0" percent="0" rank="0" text="material ok" dxfId="1113">
      <formula>NOT(ISERROR(SEARCH("material ok",N74)))</formula>
    </cfRule>
    <cfRule type="containsText" priority="213" operator="containsText" aboveAverage="0" equalAverage="0" bottom="0" percent="0" rank="0" text="a montar" dxfId="1114">
      <formula>NOT(ISERROR(SEARCH("a montar",N74)))</formula>
    </cfRule>
    <cfRule type="containsText" priority="214" operator="containsText" aboveAverage="0" equalAverage="0" bottom="0" percent="0" rank="0" text="a serrar" dxfId="1115">
      <formula>NOT(ISERROR(SEARCH("a serrar",N74)))</formula>
    </cfRule>
    <cfRule type="containsText" priority="215" operator="containsText" aboveAverage="0" equalAverage="0" bottom="0" percent="0" rank="0" text="pronto" dxfId="1116">
      <formula>NOT(ISERROR(SEARCH("pronto",N74)))</formula>
    </cfRule>
    <cfRule type="containsText" priority="216" operator="containsText" aboveAverage="0" equalAverage="0" bottom="0" percent="0" rank="0" text="empreita" dxfId="1117">
      <formula>NOT(ISERROR(SEARCH("empreita",N74)))</formula>
    </cfRule>
    <cfRule type="containsText" priority="217" operator="containsText" aboveAverage="0" equalAverage="0" bottom="0" percent="0" rank="0" text="previsto" dxfId="1118">
      <formula>NOT(ISERROR(SEARCH("previsto",N74)))</formula>
    </cfRule>
    <cfRule type="containsText" priority="218" operator="containsText" aboveAverage="0" equalAverage="0" bottom="0" percent="0" rank="0" text="produzindo" dxfId="1119">
      <formula>NOT(ISERROR(SEARCH("produzindo",N74)))</formula>
    </cfRule>
    <cfRule type="containsText" priority="219" operator="containsText" aboveAverage="0" equalAverage="0" bottom="0" percent="0" rank="0" text="material ok" dxfId="1120">
      <formula>NOT(ISERROR(SEARCH("material ok",N74)))</formula>
    </cfRule>
    <cfRule type="containsText" priority="220" operator="containsText" aboveAverage="0" equalAverage="0" bottom="0" percent="0" rank="0" text="a serrar" dxfId="1121">
      <formula>NOT(ISERROR(SEARCH("a serrar",N74)))</formula>
    </cfRule>
    <cfRule type="containsText" priority="221" operator="containsText" aboveAverage="0" equalAverage="0" bottom="0" percent="0" rank="0" text="pronto" dxfId="1122">
      <formula>NOT(ISERROR(SEARCH("pronto",N74)))</formula>
    </cfRule>
    <cfRule type="containsText" priority="222" operator="containsText" aboveAverage="0" equalAverage="0" bottom="0" percent="0" rank="0" text="empreita" dxfId="1123">
      <formula>NOT(ISERROR(SEARCH("empreita",N74)))</formula>
    </cfRule>
    <cfRule type="containsText" priority="223" operator="containsText" aboveAverage="0" equalAverage="0" bottom="0" percent="0" rank="0" text="previsto" dxfId="1124">
      <formula>NOT(ISERROR(SEARCH("previsto",N74)))</formula>
    </cfRule>
    <cfRule type="containsText" priority="224" operator="containsText" aboveAverage="0" equalAverage="0" bottom="0" percent="0" rank="0" text="produzindo" dxfId="1125">
      <formula>NOT(ISERROR(SEARCH("produzindo",N74)))</formula>
    </cfRule>
    <cfRule type="containsText" priority="225" operator="containsText" aboveAverage="0" equalAverage="0" bottom="0" percent="0" rank="0" text="material ok" dxfId="1126">
      <formula>NOT(ISERROR(SEARCH("material ok",N74)))</formula>
    </cfRule>
    <cfRule type="containsText" priority="226" operator="containsText" aboveAverage="0" equalAverage="0" bottom="0" percent="0" rank="0" text="a serrar" dxfId="1127">
      <formula>NOT(ISERROR(SEARCH("a serrar",N74)))</formula>
    </cfRule>
    <cfRule type="containsText" priority="227" operator="containsText" aboveAverage="0" equalAverage="0" bottom="0" percent="0" rank="0" text="pronto" dxfId="1128">
      <formula>NOT(ISERROR(SEARCH("pronto",N74)))</formula>
    </cfRule>
    <cfRule type="containsText" priority="228" operator="containsText" aboveAverage="0" equalAverage="0" bottom="0" percent="0" rank="0" text="empreita" dxfId="1129">
      <formula>NOT(ISERROR(SEARCH("empreita",N74)))</formula>
    </cfRule>
    <cfRule type="containsText" priority="229" operator="containsText" aboveAverage="0" equalAverage="0" bottom="0" percent="0" rank="0" text="previsto" dxfId="1130">
      <formula>NOT(ISERROR(SEARCH("previsto",N74)))</formula>
    </cfRule>
    <cfRule type="containsText" priority="230" operator="containsText" aboveAverage="0" equalAverage="0" bottom="0" percent="0" rank="0" text="produzindo" dxfId="1131">
      <formula>NOT(ISERROR(SEARCH("produzindo",N74)))</formula>
    </cfRule>
    <cfRule type="containsText" priority="231" operator="containsText" aboveAverage="0" equalAverage="0" bottom="0" percent="0" rank="0" text="material ok" dxfId="1132">
      <formula>NOT(ISERROR(SEARCH("material ok",N74)))</formula>
    </cfRule>
  </conditionalFormatting>
  <conditionalFormatting sqref="N68:N70">
    <cfRule type="containsText" priority="232" operator="containsText" aboveAverage="0" equalAverage="0" bottom="0" percent="0" rank="0" text="a montar" dxfId="1133">
      <formula>NOT(ISERROR(SEARCH("a montar",N68)))</formula>
    </cfRule>
    <cfRule type="containsText" priority="233" operator="containsText" aboveAverage="0" equalAverage="0" bottom="0" percent="0" rank="0" text="a serrar" dxfId="1134">
      <formula>NOT(ISERROR(SEARCH("a serrar",N68)))</formula>
    </cfRule>
    <cfRule type="containsText" priority="234" operator="containsText" aboveAverage="0" equalAverage="0" bottom="0" percent="0" rank="0" text="pronto" dxfId="1135">
      <formula>NOT(ISERROR(SEARCH("pronto",N68)))</formula>
    </cfRule>
    <cfRule type="containsText" priority="235" operator="containsText" aboveAverage="0" equalAverage="0" bottom="0" percent="0" rank="0" text="empreita" dxfId="1136">
      <formula>NOT(ISERROR(SEARCH("empreita",N68)))</formula>
    </cfRule>
    <cfRule type="containsText" priority="236" operator="containsText" aboveAverage="0" equalAverage="0" bottom="0" percent="0" rank="0" text="previsto" dxfId="1137">
      <formula>NOT(ISERROR(SEARCH("previsto",N68)))</formula>
    </cfRule>
    <cfRule type="containsText" priority="237" operator="containsText" aboveAverage="0" equalAverage="0" bottom="0" percent="0" rank="0" text="produzindo" dxfId="1138">
      <formula>NOT(ISERROR(SEARCH("produzindo",N68)))</formula>
    </cfRule>
    <cfRule type="containsText" priority="238" operator="containsText" aboveAverage="0" equalAverage="0" bottom="0" percent="0" rank="0" text="material ok" dxfId="1139">
      <formula>NOT(ISERROR(SEARCH("material ok",N68)))</formula>
    </cfRule>
    <cfRule type="containsText" priority="239" operator="containsText" aboveAverage="0" equalAverage="0" bottom="0" percent="0" rank="0" text="a montar" dxfId="1140">
      <formula>NOT(ISERROR(SEARCH("a montar",N68)))</formula>
    </cfRule>
    <cfRule type="containsText" priority="240" operator="containsText" aboveAverage="0" equalAverage="0" bottom="0" percent="0" rank="0" text="a serrar" dxfId="1141">
      <formula>NOT(ISERROR(SEARCH("a serrar",N68)))</formula>
    </cfRule>
    <cfRule type="containsText" priority="241" operator="containsText" aboveAverage="0" equalAverage="0" bottom="0" percent="0" rank="0" text="pronto" dxfId="1142">
      <formula>NOT(ISERROR(SEARCH("pronto",N68)))</formula>
    </cfRule>
    <cfRule type="containsText" priority="242" operator="containsText" aboveAverage="0" equalAverage="0" bottom="0" percent="0" rank="0" text="empreita" dxfId="1143">
      <formula>NOT(ISERROR(SEARCH("empreita",N68)))</formula>
    </cfRule>
    <cfRule type="containsText" priority="243" operator="containsText" aboveAverage="0" equalAverage="0" bottom="0" percent="0" rank="0" text="previsto" dxfId="1144">
      <formula>NOT(ISERROR(SEARCH("previsto",N68)))</formula>
    </cfRule>
    <cfRule type="containsText" priority="244" operator="containsText" aboveAverage="0" equalAverage="0" bottom="0" percent="0" rank="0" text="produzindo" dxfId="1145">
      <formula>NOT(ISERROR(SEARCH("produzindo",N68)))</formula>
    </cfRule>
    <cfRule type="containsText" priority="245" operator="containsText" aboveAverage="0" equalAverage="0" bottom="0" percent="0" rank="0" text="material ok" dxfId="1146">
      <formula>NOT(ISERROR(SEARCH("material ok",N68)))</formula>
    </cfRule>
    <cfRule type="containsText" priority="246" operator="containsText" aboveAverage="0" equalAverage="0" bottom="0" percent="0" rank="0" text="a montar" dxfId="1147">
      <formula>NOT(ISERROR(SEARCH("a montar",N68)))</formula>
    </cfRule>
    <cfRule type="containsText" priority="247" operator="containsText" aboveAverage="0" equalAverage="0" bottom="0" percent="0" rank="0" text="a serrar" dxfId="1148">
      <formula>NOT(ISERROR(SEARCH("a serrar",N68)))</formula>
    </cfRule>
    <cfRule type="containsText" priority="248" operator="containsText" aboveAverage="0" equalAverage="0" bottom="0" percent="0" rank="0" text="pronto" dxfId="1149">
      <formula>NOT(ISERROR(SEARCH("pronto",N68)))</formula>
    </cfRule>
    <cfRule type="containsText" priority="249" operator="containsText" aboveAverage="0" equalAverage="0" bottom="0" percent="0" rank="0" text="empreita" dxfId="1150">
      <formula>NOT(ISERROR(SEARCH("empreita",N68)))</formula>
    </cfRule>
    <cfRule type="containsText" priority="250" operator="containsText" aboveAverage="0" equalAverage="0" bottom="0" percent="0" rank="0" text="previsto" dxfId="1151">
      <formula>NOT(ISERROR(SEARCH("previsto",N68)))</formula>
    </cfRule>
    <cfRule type="containsText" priority="251" operator="containsText" aboveAverage="0" equalAverage="0" bottom="0" percent="0" rank="0" text="produzindo" dxfId="1152">
      <formula>NOT(ISERROR(SEARCH("produzindo",N68)))</formula>
    </cfRule>
    <cfRule type="containsText" priority="252" operator="containsText" aboveAverage="0" equalAverage="0" bottom="0" percent="0" rank="0" text="material ok" dxfId="1153">
      <formula>NOT(ISERROR(SEARCH("material ok",N68)))</formula>
    </cfRule>
    <cfRule type="containsText" priority="253" operator="containsText" aboveAverage="0" equalAverage="0" bottom="0" percent="0" rank="0" text="a serrar" dxfId="1154">
      <formula>NOT(ISERROR(SEARCH("a serrar",N68)))</formula>
    </cfRule>
    <cfRule type="containsText" priority="254" operator="containsText" aboveAverage="0" equalAverage="0" bottom="0" percent="0" rank="0" text="pronto" dxfId="1155">
      <formula>NOT(ISERROR(SEARCH("pronto",N68)))</formula>
    </cfRule>
    <cfRule type="containsText" priority="255" operator="containsText" aboveAverage="0" equalAverage="0" bottom="0" percent="0" rank="0" text="empreita" dxfId="1156">
      <formula>NOT(ISERROR(SEARCH("empreita",N68)))</formula>
    </cfRule>
    <cfRule type="containsText" priority="256" operator="containsText" aboveAverage="0" equalAverage="0" bottom="0" percent="0" rank="0" text="previsto" dxfId="1157">
      <formula>NOT(ISERROR(SEARCH("previsto",N68)))</formula>
    </cfRule>
    <cfRule type="containsText" priority="257" operator="containsText" aboveAverage="0" equalAverage="0" bottom="0" percent="0" rank="0" text="produzindo" dxfId="1158">
      <formula>NOT(ISERROR(SEARCH("produzindo",N68)))</formula>
    </cfRule>
    <cfRule type="containsText" priority="258" operator="containsText" aboveAverage="0" equalAverage="0" bottom="0" percent="0" rank="0" text="material ok" dxfId="1159">
      <formula>NOT(ISERROR(SEARCH("material ok",N68)))</formula>
    </cfRule>
  </conditionalFormatting>
  <conditionalFormatting sqref="N67:N70">
    <cfRule type="containsText" priority="259" operator="containsText" aboveAverage="0" equalAverage="0" bottom="0" percent="0" rank="0" text="a montar" dxfId="1160">
      <formula>NOT(ISERROR(SEARCH("a montar",N67)))</formula>
    </cfRule>
    <cfRule type="containsText" priority="260" operator="containsText" aboveAverage="0" equalAverage="0" bottom="0" percent="0" rank="0" text="a serrar" dxfId="1161">
      <formula>NOT(ISERROR(SEARCH("a serrar",N67)))</formula>
    </cfRule>
    <cfRule type="containsText" priority="261" operator="containsText" aboveAverage="0" equalAverage="0" bottom="0" percent="0" rank="0" text="pronto" dxfId="1162">
      <formula>NOT(ISERROR(SEARCH("pronto",N67)))</formula>
    </cfRule>
    <cfRule type="containsText" priority="262" operator="containsText" aboveAverage="0" equalAverage="0" bottom="0" percent="0" rank="0" text="empreita" dxfId="1163">
      <formula>NOT(ISERROR(SEARCH("empreita",N67)))</formula>
    </cfRule>
    <cfRule type="containsText" priority="263" operator="containsText" aboveAverage="0" equalAverage="0" bottom="0" percent="0" rank="0" text="previsto" dxfId="1164">
      <formula>NOT(ISERROR(SEARCH("previsto",N67)))</formula>
    </cfRule>
    <cfRule type="containsText" priority="264" operator="containsText" aboveAverage="0" equalAverage="0" bottom="0" percent="0" rank="0" text="produzindo" dxfId="1165">
      <formula>NOT(ISERROR(SEARCH("produzindo",N67)))</formula>
    </cfRule>
    <cfRule type="containsText" priority="265" operator="containsText" aboveAverage="0" equalAverage="0" bottom="0" percent="0" rank="0" text="material ok" dxfId="1166">
      <formula>NOT(ISERROR(SEARCH("material ok",N67)))</formula>
    </cfRule>
  </conditionalFormatting>
  <conditionalFormatting sqref="N67">
    <cfRule type="containsText" priority="266" operator="containsText" aboveAverage="0" equalAverage="0" bottom="0" percent="0" rank="0" text="a montar" dxfId="1167">
      <formula>NOT(ISERROR(SEARCH("a montar",N67)))</formula>
    </cfRule>
    <cfRule type="containsText" priority="267" operator="containsText" aboveAverage="0" equalAverage="0" bottom="0" percent="0" rank="0" text="a serrar" dxfId="1168">
      <formula>NOT(ISERROR(SEARCH("a serrar",N67)))</formula>
    </cfRule>
    <cfRule type="containsText" priority="268" operator="containsText" aboveAverage="0" equalAverage="0" bottom="0" percent="0" rank="0" text="pronto" dxfId="1169">
      <formula>NOT(ISERROR(SEARCH("pronto",N67)))</formula>
    </cfRule>
    <cfRule type="containsText" priority="269" operator="containsText" aboveAverage="0" equalAverage="0" bottom="0" percent="0" rank="0" text="empreita" dxfId="1170">
      <formula>NOT(ISERROR(SEARCH("empreita",N67)))</formula>
    </cfRule>
    <cfRule type="containsText" priority="270" operator="containsText" aboveAverage="0" equalAverage="0" bottom="0" percent="0" rank="0" text="previsto" dxfId="1171">
      <formula>NOT(ISERROR(SEARCH("previsto",N67)))</formula>
    </cfRule>
    <cfRule type="containsText" priority="271" operator="containsText" aboveAverage="0" equalAverage="0" bottom="0" percent="0" rank="0" text="produzindo" dxfId="1172">
      <formula>NOT(ISERROR(SEARCH("produzindo",N67)))</formula>
    </cfRule>
    <cfRule type="containsText" priority="272" operator="containsText" aboveAverage="0" equalAverage="0" bottom="0" percent="0" rank="0" text="material ok" dxfId="1173">
      <formula>NOT(ISERROR(SEARCH("material ok",N67)))</formula>
    </cfRule>
    <cfRule type="containsText" priority="273" operator="containsText" aboveAverage="0" equalAverage="0" bottom="0" percent="0" rank="0" text="a montar" dxfId="1174">
      <formula>NOT(ISERROR(SEARCH("a montar",N67)))</formula>
    </cfRule>
    <cfRule type="containsText" priority="274" operator="containsText" aboveAverage="0" equalAverage="0" bottom="0" percent="0" rank="0" text="a serrar" dxfId="1175">
      <formula>NOT(ISERROR(SEARCH("a serrar",N67)))</formula>
    </cfRule>
    <cfRule type="containsText" priority="275" operator="containsText" aboveAverage="0" equalAverage="0" bottom="0" percent="0" rank="0" text="pronto" dxfId="1176">
      <formula>NOT(ISERROR(SEARCH("pronto",N67)))</formula>
    </cfRule>
    <cfRule type="containsText" priority="276" operator="containsText" aboveAverage="0" equalAverage="0" bottom="0" percent="0" rank="0" text="empreita" dxfId="1177">
      <formula>NOT(ISERROR(SEARCH("empreita",N67)))</formula>
    </cfRule>
    <cfRule type="containsText" priority="277" operator="containsText" aboveAverage="0" equalAverage="0" bottom="0" percent="0" rank="0" text="previsto" dxfId="1178">
      <formula>NOT(ISERROR(SEARCH("previsto",N67)))</formula>
    </cfRule>
    <cfRule type="containsText" priority="278" operator="containsText" aboveAverage="0" equalAverage="0" bottom="0" percent="0" rank="0" text="produzindo" dxfId="1179">
      <formula>NOT(ISERROR(SEARCH("produzindo",N67)))</formula>
    </cfRule>
    <cfRule type="containsText" priority="279" operator="containsText" aboveAverage="0" equalAverage="0" bottom="0" percent="0" rank="0" text="material ok" dxfId="1180">
      <formula>NOT(ISERROR(SEARCH("material ok",N67)))</formula>
    </cfRule>
    <cfRule type="containsText" priority="280" operator="containsText" aboveAverage="0" equalAverage="0" bottom="0" percent="0" rank="0" text="a montar" dxfId="1181">
      <formula>NOT(ISERROR(SEARCH("a montar",N67)))</formula>
    </cfRule>
    <cfRule type="containsText" priority="281" operator="containsText" aboveAverage="0" equalAverage="0" bottom="0" percent="0" rank="0" text="a serrar" dxfId="1182">
      <formula>NOT(ISERROR(SEARCH("a serrar",N67)))</formula>
    </cfRule>
    <cfRule type="containsText" priority="282" operator="containsText" aboveAverage="0" equalAverage="0" bottom="0" percent="0" rank="0" text="pronto" dxfId="1183">
      <formula>NOT(ISERROR(SEARCH("pronto",N67)))</formula>
    </cfRule>
    <cfRule type="containsText" priority="283" operator="containsText" aboveAverage="0" equalAverage="0" bottom="0" percent="0" rank="0" text="empreita" dxfId="1184">
      <formula>NOT(ISERROR(SEARCH("empreita",N67)))</formula>
    </cfRule>
    <cfRule type="containsText" priority="284" operator="containsText" aboveAverage="0" equalAverage="0" bottom="0" percent="0" rank="0" text="previsto" dxfId="1185">
      <formula>NOT(ISERROR(SEARCH("previsto",N67)))</formula>
    </cfRule>
    <cfRule type="containsText" priority="285" operator="containsText" aboveAverage="0" equalAverage="0" bottom="0" percent="0" rank="0" text="produzindo" dxfId="1186">
      <formula>NOT(ISERROR(SEARCH("produzindo",N67)))</formula>
    </cfRule>
    <cfRule type="containsText" priority="286" operator="containsText" aboveAverage="0" equalAverage="0" bottom="0" percent="0" rank="0" text="material ok" dxfId="1187">
      <formula>NOT(ISERROR(SEARCH("material ok",N67)))</formula>
    </cfRule>
    <cfRule type="containsText" priority="287" operator="containsText" aboveAverage="0" equalAverage="0" bottom="0" percent="0" rank="0" text="a serrar" dxfId="1188">
      <formula>NOT(ISERROR(SEARCH("a serrar",N67)))</formula>
    </cfRule>
    <cfRule type="containsText" priority="288" operator="containsText" aboveAverage="0" equalAverage="0" bottom="0" percent="0" rank="0" text="pronto" dxfId="1189">
      <formula>NOT(ISERROR(SEARCH("pronto",N67)))</formula>
    </cfRule>
    <cfRule type="containsText" priority="289" operator="containsText" aboveAverage="0" equalAverage="0" bottom="0" percent="0" rank="0" text="empreita" dxfId="1190">
      <formula>NOT(ISERROR(SEARCH("empreita",N67)))</formula>
    </cfRule>
    <cfRule type="containsText" priority="290" operator="containsText" aboveAverage="0" equalAverage="0" bottom="0" percent="0" rank="0" text="previsto" dxfId="1191">
      <formula>NOT(ISERROR(SEARCH("previsto",N67)))</formula>
    </cfRule>
    <cfRule type="containsText" priority="291" operator="containsText" aboveAverage="0" equalAverage="0" bottom="0" percent="0" rank="0" text="produzindo" dxfId="1192">
      <formula>NOT(ISERROR(SEARCH("produzindo",N67)))</formula>
    </cfRule>
    <cfRule type="containsText" priority="292" operator="containsText" aboveAverage="0" equalAverage="0" bottom="0" percent="0" rank="0" text="material ok" dxfId="1193">
      <formula>NOT(ISERROR(SEARCH("material ok",N67)))</formula>
    </cfRule>
  </conditionalFormatting>
  <conditionalFormatting sqref="N129">
    <cfRule type="containsText" priority="293" operator="containsText" aboveAverage="0" equalAverage="0" bottom="0" percent="0" rank="0" text="a serrar" dxfId="1194">
      <formula>NOT(ISERROR(SEARCH("a serrar",N129)))</formula>
    </cfRule>
    <cfRule type="containsText" priority="294" operator="containsText" aboveAverage="0" equalAverage="0" bottom="0" percent="0" rank="0" text="pronto" dxfId="1195">
      <formula>NOT(ISERROR(SEARCH("pronto",N129)))</formula>
    </cfRule>
    <cfRule type="containsText" priority="295" operator="containsText" aboveAverage="0" equalAverage="0" bottom="0" percent="0" rank="0" text="empreita" dxfId="1196">
      <formula>NOT(ISERROR(SEARCH("empreita",N129)))</formula>
    </cfRule>
    <cfRule type="containsText" priority="296" operator="containsText" aboveAverage="0" equalAverage="0" bottom="0" percent="0" rank="0" text="previsto" dxfId="1197">
      <formula>NOT(ISERROR(SEARCH("previsto",N129)))</formula>
    </cfRule>
    <cfRule type="containsText" priority="297" operator="containsText" aboveAverage="0" equalAverage="0" bottom="0" percent="0" rank="0" text="produzindo" dxfId="1198">
      <formula>NOT(ISERROR(SEARCH("produzindo",N129)))</formula>
    </cfRule>
    <cfRule type="containsText" priority="298" operator="containsText" aboveAverage="0" equalAverage="0" bottom="0" percent="0" rank="0" text="material ok" dxfId="1199">
      <formula>NOT(ISERROR(SEARCH("material ok",N129)))</formula>
    </cfRule>
  </conditionalFormatting>
  <conditionalFormatting sqref="N39 N63">
    <cfRule type="containsText" priority="299" operator="containsText" aboveAverage="0" equalAverage="0" bottom="0" percent="0" rank="0" text="a montar" dxfId="1200">
      <formula>NOT(ISERROR(SEARCH("a montar",N39)))</formula>
    </cfRule>
    <cfRule type="containsText" priority="300" operator="containsText" aboveAverage="0" equalAverage="0" bottom="0" percent="0" rank="0" text="a serrar" dxfId="1201">
      <formula>NOT(ISERROR(SEARCH("a serrar",N39)))</formula>
    </cfRule>
    <cfRule type="containsText" priority="301" operator="containsText" aboveAverage="0" equalAverage="0" bottom="0" percent="0" rank="0" text="pronto" dxfId="1202">
      <formula>NOT(ISERROR(SEARCH("pronto",N39)))</formula>
    </cfRule>
    <cfRule type="containsText" priority="302" operator="containsText" aboveAverage="0" equalAverage="0" bottom="0" percent="0" rank="0" text="empreita" dxfId="1203">
      <formula>NOT(ISERROR(SEARCH("empreita",N39)))</formula>
    </cfRule>
    <cfRule type="containsText" priority="303" operator="containsText" aboveAverage="0" equalAverage="0" bottom="0" percent="0" rank="0" text="previsto" dxfId="1204">
      <formula>NOT(ISERROR(SEARCH("previsto",N39)))</formula>
    </cfRule>
    <cfRule type="containsText" priority="304" operator="containsText" aboveAverage="0" equalAverage="0" bottom="0" percent="0" rank="0" text="produzindo" dxfId="1205">
      <formula>NOT(ISERROR(SEARCH("produzindo",N39)))</formula>
    </cfRule>
    <cfRule type="containsText" priority="305" operator="containsText" aboveAverage="0" equalAverage="0" bottom="0" percent="0" rank="0" text="material ok" dxfId="1206">
      <formula>NOT(ISERROR(SEARCH("material ok",N39)))</formula>
    </cfRule>
    <cfRule type="containsText" priority="306" operator="containsText" aboveAverage="0" equalAverage="0" bottom="0" percent="0" rank="0" text="a montar" dxfId="1207">
      <formula>NOT(ISERROR(SEARCH("a montar",N39)))</formula>
    </cfRule>
    <cfRule type="containsText" priority="307" operator="containsText" aboveAverage="0" equalAverage="0" bottom="0" percent="0" rank="0" text="a serrar" dxfId="1208">
      <formula>NOT(ISERROR(SEARCH("a serrar",N39)))</formula>
    </cfRule>
    <cfRule type="containsText" priority="308" operator="containsText" aboveAverage="0" equalAverage="0" bottom="0" percent="0" rank="0" text="pronto" dxfId="1209">
      <formula>NOT(ISERROR(SEARCH("pronto",N39)))</formula>
    </cfRule>
    <cfRule type="containsText" priority="309" operator="containsText" aboveAverage="0" equalAverage="0" bottom="0" percent="0" rank="0" text="empreita" dxfId="1210">
      <formula>NOT(ISERROR(SEARCH("empreita",N39)))</formula>
    </cfRule>
    <cfRule type="containsText" priority="310" operator="containsText" aboveAverage="0" equalAverage="0" bottom="0" percent="0" rank="0" text="previsto" dxfId="1211">
      <formula>NOT(ISERROR(SEARCH("previsto",N39)))</formula>
    </cfRule>
    <cfRule type="containsText" priority="311" operator="containsText" aboveAverage="0" equalAverage="0" bottom="0" percent="0" rank="0" text="produzindo" dxfId="1212">
      <formula>NOT(ISERROR(SEARCH("produzindo",N39)))</formula>
    </cfRule>
    <cfRule type="containsText" priority="312" operator="containsText" aboveAverage="0" equalAverage="0" bottom="0" percent="0" rank="0" text="material ok" dxfId="1213">
      <formula>NOT(ISERROR(SEARCH("material ok",N39)))</formula>
    </cfRule>
    <cfRule type="containsText" priority="313" operator="containsText" aboveAverage="0" equalAverage="0" bottom="0" percent="0" rank="0" text="a montar" dxfId="1214">
      <formula>NOT(ISERROR(SEARCH("a montar",N39)))</formula>
    </cfRule>
    <cfRule type="containsText" priority="314" operator="containsText" aboveAverage="0" equalAverage="0" bottom="0" percent="0" rank="0" text="a serrar" dxfId="1215">
      <formula>NOT(ISERROR(SEARCH("a serrar",N39)))</formula>
    </cfRule>
    <cfRule type="containsText" priority="315" operator="containsText" aboveAverage="0" equalAverage="0" bottom="0" percent="0" rank="0" text="pronto" dxfId="1216">
      <formula>NOT(ISERROR(SEARCH("pronto",N39)))</formula>
    </cfRule>
    <cfRule type="containsText" priority="316" operator="containsText" aboveAverage="0" equalAverage="0" bottom="0" percent="0" rank="0" text="empreita" dxfId="1217">
      <formula>NOT(ISERROR(SEARCH("empreita",N39)))</formula>
    </cfRule>
    <cfRule type="containsText" priority="317" operator="containsText" aboveAverage="0" equalAverage="0" bottom="0" percent="0" rank="0" text="previsto" dxfId="1218">
      <formula>NOT(ISERROR(SEARCH("previsto",N39)))</formula>
    </cfRule>
    <cfRule type="containsText" priority="318" operator="containsText" aboveAverage="0" equalAverage="0" bottom="0" percent="0" rank="0" text="produzindo" dxfId="1219">
      <formula>NOT(ISERROR(SEARCH("produzindo",N39)))</formula>
    </cfRule>
    <cfRule type="containsText" priority="319" operator="containsText" aboveAverage="0" equalAverage="0" bottom="0" percent="0" rank="0" text="material ok" dxfId="1220">
      <formula>NOT(ISERROR(SEARCH("material ok",N39)))</formula>
    </cfRule>
    <cfRule type="containsText" priority="320" operator="containsText" aboveAverage="0" equalAverage="0" bottom="0" percent="0" rank="0" text="a montar" dxfId="1221">
      <formula>NOT(ISERROR(SEARCH("a montar",N39)))</formula>
    </cfRule>
    <cfRule type="containsText" priority="321" operator="containsText" aboveAverage="0" equalAverage="0" bottom="0" percent="0" rank="0" text="a serrar" dxfId="1222">
      <formula>NOT(ISERROR(SEARCH("a serrar",N39)))</formula>
    </cfRule>
    <cfRule type="containsText" priority="322" operator="containsText" aboveAverage="0" equalAverage="0" bottom="0" percent="0" rank="0" text="pronto" dxfId="1223">
      <formula>NOT(ISERROR(SEARCH("pronto",N39)))</formula>
    </cfRule>
    <cfRule type="containsText" priority="323" operator="containsText" aboveAverage="0" equalAverage="0" bottom="0" percent="0" rank="0" text="empreita" dxfId="1224">
      <formula>NOT(ISERROR(SEARCH("empreita",N39)))</formula>
    </cfRule>
    <cfRule type="containsText" priority="324" operator="containsText" aboveAverage="0" equalAverage="0" bottom="0" percent="0" rank="0" text="previsto" dxfId="1225">
      <formula>NOT(ISERROR(SEARCH("previsto",N39)))</formula>
    </cfRule>
    <cfRule type="containsText" priority="325" operator="containsText" aboveAverage="0" equalAverage="0" bottom="0" percent="0" rank="0" text="produzindo" dxfId="1226">
      <formula>NOT(ISERROR(SEARCH("produzindo",N39)))</formula>
    </cfRule>
    <cfRule type="containsText" priority="326" operator="containsText" aboveAverage="0" equalAverage="0" bottom="0" percent="0" rank="0" text="material ok" dxfId="1227">
      <formula>NOT(ISERROR(SEARCH("material ok",N39)))</formula>
    </cfRule>
  </conditionalFormatting>
  <conditionalFormatting sqref="N56:N57">
    <cfRule type="containsText" priority="327" operator="containsText" aboveAverage="0" equalAverage="0" bottom="0" percent="0" rank="0" text="a montar" dxfId="1228">
      <formula>NOT(ISERROR(SEARCH("a montar",N56)))</formula>
    </cfRule>
    <cfRule type="containsText" priority="328" operator="containsText" aboveAverage="0" equalAverage="0" bottom="0" percent="0" rank="0" text="a serrar" dxfId="1229">
      <formula>NOT(ISERROR(SEARCH("a serrar",N56)))</formula>
    </cfRule>
    <cfRule type="containsText" priority="329" operator="containsText" aboveAverage="0" equalAverage="0" bottom="0" percent="0" rank="0" text="pronto" dxfId="1230">
      <formula>NOT(ISERROR(SEARCH("pronto",N56)))</formula>
    </cfRule>
    <cfRule type="containsText" priority="330" operator="containsText" aboveAverage="0" equalAverage="0" bottom="0" percent="0" rank="0" text="empreita" dxfId="1231">
      <formula>NOT(ISERROR(SEARCH("empreita",N56)))</formula>
    </cfRule>
    <cfRule type="containsText" priority="331" operator="containsText" aboveAverage="0" equalAverage="0" bottom="0" percent="0" rank="0" text="previsto" dxfId="1232">
      <formula>NOT(ISERROR(SEARCH("previsto",N56)))</formula>
    </cfRule>
    <cfRule type="containsText" priority="332" operator="containsText" aboveAverage="0" equalAverage="0" bottom="0" percent="0" rank="0" text="produzindo" dxfId="1233">
      <formula>NOT(ISERROR(SEARCH("produzindo",N56)))</formula>
    </cfRule>
    <cfRule type="containsText" priority="333" operator="containsText" aboveAverage="0" equalAverage="0" bottom="0" percent="0" rank="0" text="material ok" dxfId="1234">
      <formula>NOT(ISERROR(SEARCH("material ok",N56)))</formula>
    </cfRule>
  </conditionalFormatting>
  <conditionalFormatting sqref="N59:N60">
    <cfRule type="containsText" priority="334" operator="containsText" aboveAverage="0" equalAverage="0" bottom="0" percent="0" rank="0" text="a montar" dxfId="1235">
      <formula>NOT(ISERROR(SEARCH("a montar",N59)))</formula>
    </cfRule>
    <cfRule type="containsText" priority="335" operator="containsText" aboveAverage="0" equalAverage="0" bottom="0" percent="0" rank="0" text="a serrar" dxfId="1236">
      <formula>NOT(ISERROR(SEARCH("a serrar",N59)))</formula>
    </cfRule>
    <cfRule type="containsText" priority="336" operator="containsText" aboveAverage="0" equalAverage="0" bottom="0" percent="0" rank="0" text="pronto" dxfId="1237">
      <formula>NOT(ISERROR(SEARCH("pronto",N59)))</formula>
    </cfRule>
    <cfRule type="containsText" priority="337" operator="containsText" aboveAverage="0" equalAverage="0" bottom="0" percent="0" rank="0" text="empreita" dxfId="1238">
      <formula>NOT(ISERROR(SEARCH("empreita",N59)))</formula>
    </cfRule>
    <cfRule type="containsText" priority="338" operator="containsText" aboveAverage="0" equalAverage="0" bottom="0" percent="0" rank="0" text="previsto" dxfId="1239">
      <formula>NOT(ISERROR(SEARCH("previsto",N59)))</formula>
    </cfRule>
    <cfRule type="containsText" priority="339" operator="containsText" aboveAverage="0" equalAverage="0" bottom="0" percent="0" rank="0" text="produzindo" dxfId="1240">
      <formula>NOT(ISERROR(SEARCH("produzindo",N59)))</formula>
    </cfRule>
    <cfRule type="containsText" priority="340" operator="containsText" aboveAverage="0" equalAverage="0" bottom="0" percent="0" rank="0" text="material ok" dxfId="1241">
      <formula>NOT(ISERROR(SEARCH("material ok",N59)))</formula>
    </cfRule>
  </conditionalFormatting>
  <conditionalFormatting sqref="N59:N61">
    <cfRule type="containsText" priority="341" operator="containsText" aboveAverage="0" equalAverage="0" bottom="0" percent="0" rank="0" text="a montar" dxfId="1242">
      <formula>NOT(ISERROR(SEARCH("a montar",N59)))</formula>
    </cfRule>
    <cfRule type="containsText" priority="342" operator="containsText" aboveAverage="0" equalAverage="0" bottom="0" percent="0" rank="0" text="a serrar" dxfId="1243">
      <formula>NOT(ISERROR(SEARCH("a serrar",N59)))</formula>
    </cfRule>
    <cfRule type="containsText" priority="343" operator="containsText" aboveAverage="0" equalAverage="0" bottom="0" percent="0" rank="0" text="pronto" dxfId="1244">
      <formula>NOT(ISERROR(SEARCH("pronto",N59)))</formula>
    </cfRule>
    <cfRule type="containsText" priority="344" operator="containsText" aboveAverage="0" equalAverage="0" bottom="0" percent="0" rank="0" text="empreita" dxfId="1245">
      <formula>NOT(ISERROR(SEARCH("empreita",N59)))</formula>
    </cfRule>
    <cfRule type="containsText" priority="345" operator="containsText" aboveAverage="0" equalAverage="0" bottom="0" percent="0" rank="0" text="previsto" dxfId="1246">
      <formula>NOT(ISERROR(SEARCH("previsto",N59)))</formula>
    </cfRule>
    <cfRule type="containsText" priority="346" operator="containsText" aboveAverage="0" equalAverage="0" bottom="0" percent="0" rank="0" text="produzindo" dxfId="1247">
      <formula>NOT(ISERROR(SEARCH("produzindo",N59)))</formula>
    </cfRule>
    <cfRule type="containsText" priority="347" operator="containsText" aboveAverage="0" equalAverage="0" bottom="0" percent="0" rank="0" text="material ok" dxfId="1248">
      <formula>NOT(ISERROR(SEARCH("material ok",N59)))</formula>
    </cfRule>
  </conditionalFormatting>
  <conditionalFormatting sqref="N61">
    <cfRule type="containsText" priority="348" operator="containsText" aboveAverage="0" equalAverage="0" bottom="0" percent="0" rank="0" text="a montar" dxfId="1249">
      <formula>NOT(ISERROR(SEARCH("a montar",N61)))</formula>
    </cfRule>
    <cfRule type="containsText" priority="349" operator="containsText" aboveAverage="0" equalAverage="0" bottom="0" percent="0" rank="0" text="a serrar" dxfId="1250">
      <formula>NOT(ISERROR(SEARCH("a serrar",N61)))</formula>
    </cfRule>
    <cfRule type="containsText" priority="350" operator="containsText" aboveAverage="0" equalAverage="0" bottom="0" percent="0" rank="0" text="pronto" dxfId="1251">
      <formula>NOT(ISERROR(SEARCH("pronto",N61)))</formula>
    </cfRule>
    <cfRule type="containsText" priority="351" operator="containsText" aboveAverage="0" equalAverage="0" bottom="0" percent="0" rank="0" text="empreita" dxfId="1252">
      <formula>NOT(ISERROR(SEARCH("empreita",N61)))</formula>
    </cfRule>
    <cfRule type="containsText" priority="352" operator="containsText" aboveAverage="0" equalAverage="0" bottom="0" percent="0" rank="0" text="previsto" dxfId="1253">
      <formula>NOT(ISERROR(SEARCH("previsto",N61)))</formula>
    </cfRule>
    <cfRule type="containsText" priority="353" operator="containsText" aboveAverage="0" equalAverage="0" bottom="0" percent="0" rank="0" text="produzindo" dxfId="1254">
      <formula>NOT(ISERROR(SEARCH("produzindo",N61)))</formula>
    </cfRule>
    <cfRule type="containsText" priority="354" operator="containsText" aboveAverage="0" equalAverage="0" bottom="0" percent="0" rank="0" text="material ok" dxfId="1255">
      <formula>NOT(ISERROR(SEARCH("material ok",N61)))</formula>
    </cfRule>
  </conditionalFormatting>
  <conditionalFormatting sqref="N51:N54">
    <cfRule type="containsText" priority="355" operator="containsText" aboveAverage="0" equalAverage="0" bottom="0" percent="0" rank="0" text="a montar" dxfId="1256">
      <formula>NOT(ISERROR(SEARCH("a montar",N51)))</formula>
    </cfRule>
    <cfRule type="containsText" priority="356" operator="containsText" aboveAverage="0" equalAverage="0" bottom="0" percent="0" rank="0" text="a serrar" dxfId="1257">
      <formula>NOT(ISERROR(SEARCH("a serrar",N51)))</formula>
    </cfRule>
    <cfRule type="containsText" priority="357" operator="containsText" aboveAverage="0" equalAverage="0" bottom="0" percent="0" rank="0" text="pronto" dxfId="1258">
      <formula>NOT(ISERROR(SEARCH("pronto",N51)))</formula>
    </cfRule>
    <cfRule type="containsText" priority="358" operator="containsText" aboveAverage="0" equalAverage="0" bottom="0" percent="0" rank="0" text="empreita" dxfId="1259">
      <formula>NOT(ISERROR(SEARCH("empreita",N51)))</formula>
    </cfRule>
    <cfRule type="containsText" priority="359" operator="containsText" aboveAverage="0" equalAverage="0" bottom="0" percent="0" rank="0" text="previsto" dxfId="1260">
      <formula>NOT(ISERROR(SEARCH("previsto",N51)))</formula>
    </cfRule>
    <cfRule type="containsText" priority="360" operator="containsText" aboveAverage="0" equalAverage="0" bottom="0" percent="0" rank="0" text="produzindo" dxfId="1261">
      <formula>NOT(ISERROR(SEARCH("produzindo",N51)))</formula>
    </cfRule>
    <cfRule type="containsText" priority="361" operator="containsText" aboveAverage="0" equalAverage="0" bottom="0" percent="0" rank="0" text="material ok" dxfId="1262">
      <formula>NOT(ISERROR(SEARCH("material ok",N51)))</formula>
    </cfRule>
  </conditionalFormatting>
  <conditionalFormatting sqref="N44:N45">
    <cfRule type="containsText" priority="362" operator="containsText" aboveAverage="0" equalAverage="0" bottom="0" percent="0" rank="0" text="a montar" dxfId="1263">
      <formula>NOT(ISERROR(SEARCH("a montar",N44)))</formula>
    </cfRule>
    <cfRule type="containsText" priority="363" operator="containsText" aboveAverage="0" equalAverage="0" bottom="0" percent="0" rank="0" text="a serrar" dxfId="1264">
      <formula>NOT(ISERROR(SEARCH("a serrar",N44)))</formula>
    </cfRule>
    <cfRule type="containsText" priority="364" operator="containsText" aboveAverage="0" equalAverage="0" bottom="0" percent="0" rank="0" text="pronto" dxfId="1265">
      <formula>NOT(ISERROR(SEARCH("pronto",N44)))</formula>
    </cfRule>
    <cfRule type="containsText" priority="365" operator="containsText" aboveAverage="0" equalAverage="0" bottom="0" percent="0" rank="0" text="empreita" dxfId="1266">
      <formula>NOT(ISERROR(SEARCH("empreita",N44)))</formula>
    </cfRule>
    <cfRule type="containsText" priority="366" operator="containsText" aboveAverage="0" equalAverage="0" bottom="0" percent="0" rank="0" text="previsto" dxfId="1267">
      <formula>NOT(ISERROR(SEARCH("previsto",N44)))</formula>
    </cfRule>
    <cfRule type="containsText" priority="367" operator="containsText" aboveAverage="0" equalAverage="0" bottom="0" percent="0" rank="0" text="produzindo" dxfId="1268">
      <formula>NOT(ISERROR(SEARCH("produzindo",N44)))</formula>
    </cfRule>
    <cfRule type="containsText" priority="368" operator="containsText" aboveAverage="0" equalAverage="0" bottom="0" percent="0" rank="0" text="material ok" dxfId="1269">
      <formula>NOT(ISERROR(SEARCH("material ok",N44)))</formula>
    </cfRule>
    <cfRule type="containsText" priority="369" operator="containsText" aboveAverage="0" equalAverage="0" bottom="0" percent="0" rank="0" text="a montar" dxfId="1270">
      <formula>NOT(ISERROR(SEARCH("a montar",N44)))</formula>
    </cfRule>
    <cfRule type="containsText" priority="370" operator="containsText" aboveAverage="0" equalAverage="0" bottom="0" percent="0" rank="0" text="a serrar" dxfId="1271">
      <formula>NOT(ISERROR(SEARCH("a serrar",N44)))</formula>
    </cfRule>
    <cfRule type="containsText" priority="371" operator="containsText" aboveAverage="0" equalAverage="0" bottom="0" percent="0" rank="0" text="pronto" dxfId="1272">
      <formula>NOT(ISERROR(SEARCH("pronto",N44)))</formula>
    </cfRule>
    <cfRule type="containsText" priority="372" operator="containsText" aboveAverage="0" equalAverage="0" bottom="0" percent="0" rank="0" text="empreita" dxfId="1273">
      <formula>NOT(ISERROR(SEARCH("empreita",N44)))</formula>
    </cfRule>
    <cfRule type="containsText" priority="373" operator="containsText" aboveAverage="0" equalAverage="0" bottom="0" percent="0" rank="0" text="previsto" dxfId="1274">
      <formula>NOT(ISERROR(SEARCH("previsto",N44)))</formula>
    </cfRule>
    <cfRule type="containsText" priority="374" operator="containsText" aboveAverage="0" equalAverage="0" bottom="0" percent="0" rank="0" text="produzindo" dxfId="1275">
      <formula>NOT(ISERROR(SEARCH("produzindo",N44)))</formula>
    </cfRule>
    <cfRule type="containsText" priority="375" operator="containsText" aboveAverage="0" equalAverage="0" bottom="0" percent="0" rank="0" text="material ok" dxfId="1276">
      <formula>NOT(ISERROR(SEARCH("material ok",N44)))</formula>
    </cfRule>
    <cfRule type="containsText" priority="376" operator="containsText" aboveAverage="0" equalAverage="0" bottom="0" percent="0" rank="0" text="a montar" dxfId="1277">
      <formula>NOT(ISERROR(SEARCH("a montar",N44)))</formula>
    </cfRule>
    <cfRule type="containsText" priority="377" operator="containsText" aboveAverage="0" equalAverage="0" bottom="0" percent="0" rank="0" text="a serrar" dxfId="1278">
      <formula>NOT(ISERROR(SEARCH("a serrar",N44)))</formula>
    </cfRule>
    <cfRule type="containsText" priority="378" operator="containsText" aboveAverage="0" equalAverage="0" bottom="0" percent="0" rank="0" text="pronto" dxfId="1279">
      <formula>NOT(ISERROR(SEARCH("pronto",N44)))</formula>
    </cfRule>
    <cfRule type="containsText" priority="379" operator="containsText" aboveAverage="0" equalAverage="0" bottom="0" percent="0" rank="0" text="empreita" dxfId="1280">
      <formula>NOT(ISERROR(SEARCH("empreita",N44)))</formula>
    </cfRule>
    <cfRule type="containsText" priority="380" operator="containsText" aboveAverage="0" equalAverage="0" bottom="0" percent="0" rank="0" text="previsto" dxfId="1281">
      <formula>NOT(ISERROR(SEARCH("previsto",N44)))</formula>
    </cfRule>
    <cfRule type="containsText" priority="381" operator="containsText" aboveAverage="0" equalAverage="0" bottom="0" percent="0" rank="0" text="produzindo" dxfId="1282">
      <formula>NOT(ISERROR(SEARCH("produzindo",N44)))</formula>
    </cfRule>
    <cfRule type="containsText" priority="382" operator="containsText" aboveAverage="0" equalAverage="0" bottom="0" percent="0" rank="0" text="material ok" dxfId="1283">
      <formula>NOT(ISERROR(SEARCH("material ok",N44)))</formula>
    </cfRule>
    <cfRule type="containsText" priority="383" operator="containsText" aboveAverage="0" equalAverage="0" bottom="0" percent="0" rank="0" text="a montar" dxfId="1284">
      <formula>NOT(ISERROR(SEARCH("a montar",N44)))</formula>
    </cfRule>
    <cfRule type="containsText" priority="384" operator="containsText" aboveAverage="0" equalAverage="0" bottom="0" percent="0" rank="0" text="a serrar" dxfId="1285">
      <formula>NOT(ISERROR(SEARCH("a serrar",N44)))</formula>
    </cfRule>
    <cfRule type="containsText" priority="385" operator="containsText" aboveAverage="0" equalAverage="0" bottom="0" percent="0" rank="0" text="pronto" dxfId="1286">
      <formula>NOT(ISERROR(SEARCH("pronto",N44)))</formula>
    </cfRule>
    <cfRule type="containsText" priority="386" operator="containsText" aboveAverage="0" equalAverage="0" bottom="0" percent="0" rank="0" text="empreita" dxfId="1287">
      <formula>NOT(ISERROR(SEARCH("empreita",N44)))</formula>
    </cfRule>
    <cfRule type="containsText" priority="387" operator="containsText" aboveAverage="0" equalAverage="0" bottom="0" percent="0" rank="0" text="previsto" dxfId="1288">
      <formula>NOT(ISERROR(SEARCH("previsto",N44)))</formula>
    </cfRule>
    <cfRule type="containsText" priority="388" operator="containsText" aboveAverage="0" equalAverage="0" bottom="0" percent="0" rank="0" text="produzindo" dxfId="1289">
      <formula>NOT(ISERROR(SEARCH("produzindo",N44)))</formula>
    </cfRule>
    <cfRule type="containsText" priority="389" operator="containsText" aboveAverage="0" equalAverage="0" bottom="0" percent="0" rank="0" text="material ok" dxfId="1290">
      <formula>NOT(ISERROR(SEARCH("material ok",N44)))</formula>
    </cfRule>
  </conditionalFormatting>
  <conditionalFormatting sqref="N15:N16">
    <cfRule type="containsText" priority="390" operator="containsText" aboveAverage="0" equalAverage="0" bottom="0" percent="0" rank="0" text="a montar" dxfId="1291">
      <formula>NOT(ISERROR(SEARCH("a montar",N15)))</formula>
    </cfRule>
    <cfRule type="containsText" priority="391" operator="containsText" aboveAverage="0" equalAverage="0" bottom="0" percent="0" rank="0" text="a serrar" dxfId="1292">
      <formula>NOT(ISERROR(SEARCH("a serrar",N15)))</formula>
    </cfRule>
    <cfRule type="containsText" priority="392" operator="containsText" aboveAverage="0" equalAverage="0" bottom="0" percent="0" rank="0" text="pronto" dxfId="1293">
      <formula>NOT(ISERROR(SEARCH("pronto",N15)))</formula>
    </cfRule>
    <cfRule type="containsText" priority="393" operator="containsText" aboveAverage="0" equalAverage="0" bottom="0" percent="0" rank="0" text="empreita" dxfId="1294">
      <formula>NOT(ISERROR(SEARCH("empreita",N15)))</formula>
    </cfRule>
    <cfRule type="containsText" priority="394" operator="containsText" aboveAverage="0" equalAverage="0" bottom="0" percent="0" rank="0" text="previsto" dxfId="1295">
      <formula>NOT(ISERROR(SEARCH("previsto",N15)))</formula>
    </cfRule>
    <cfRule type="containsText" priority="395" operator="containsText" aboveAverage="0" equalAverage="0" bottom="0" percent="0" rank="0" text="produzindo" dxfId="1296">
      <formula>NOT(ISERROR(SEARCH("produzindo",N15)))</formula>
    </cfRule>
    <cfRule type="containsText" priority="396" operator="containsText" aboveAverage="0" equalAverage="0" bottom="0" percent="0" rank="0" text="material ok" dxfId="1297">
      <formula>NOT(ISERROR(SEARCH("material ok",N15)))</formula>
    </cfRule>
  </conditionalFormatting>
  <conditionalFormatting sqref="N47:N48">
    <cfRule type="containsText" priority="397" operator="containsText" aboveAverage="0" equalAverage="0" bottom="0" percent="0" rank="0" text="a montar" dxfId="1298">
      <formula>NOT(ISERROR(SEARCH("a montar",N47)))</formula>
    </cfRule>
    <cfRule type="containsText" priority="398" operator="containsText" aboveAverage="0" equalAverage="0" bottom="0" percent="0" rank="0" text="a serrar" dxfId="1299">
      <formula>NOT(ISERROR(SEARCH("a serrar",N47)))</formula>
    </cfRule>
    <cfRule type="containsText" priority="399" operator="containsText" aboveAverage="0" equalAverage="0" bottom="0" percent="0" rank="0" text="pronto" dxfId="1300">
      <formula>NOT(ISERROR(SEARCH("pronto",N47)))</formula>
    </cfRule>
    <cfRule type="containsText" priority="400" operator="containsText" aboveAverage="0" equalAverage="0" bottom="0" percent="0" rank="0" text="empreita" dxfId="1301">
      <formula>NOT(ISERROR(SEARCH("empreita",N47)))</formula>
    </cfRule>
    <cfRule type="containsText" priority="401" operator="containsText" aboveAverage="0" equalAverage="0" bottom="0" percent="0" rank="0" text="previsto" dxfId="1302">
      <formula>NOT(ISERROR(SEARCH("previsto",N47)))</formula>
    </cfRule>
    <cfRule type="containsText" priority="402" operator="containsText" aboveAverage="0" equalAverage="0" bottom="0" percent="0" rank="0" text="produzindo" dxfId="1303">
      <formula>NOT(ISERROR(SEARCH("produzindo",N47)))</formula>
    </cfRule>
    <cfRule type="containsText" priority="403" operator="containsText" aboveAverage="0" equalAverage="0" bottom="0" percent="0" rank="0" text="material ok" dxfId="1304">
      <formula>NOT(ISERROR(SEARCH("material ok",N47)))</formula>
    </cfRule>
  </conditionalFormatting>
  <conditionalFormatting sqref="N28:N37">
    <cfRule type="containsText" priority="404" operator="containsText" aboveAverage="0" equalAverage="0" bottom="0" percent="0" rank="0" text="a montar" dxfId="1305">
      <formula>NOT(ISERROR(SEARCH("a montar",N28)))</formula>
    </cfRule>
    <cfRule type="containsText" priority="405" operator="containsText" aboveAverage="0" equalAverage="0" bottom="0" percent="0" rank="0" text="a serrar" dxfId="1306">
      <formula>NOT(ISERROR(SEARCH("a serrar",N28)))</formula>
    </cfRule>
    <cfRule type="containsText" priority="406" operator="containsText" aboveAverage="0" equalAverage="0" bottom="0" percent="0" rank="0" text="pronto" dxfId="1307">
      <formula>NOT(ISERROR(SEARCH("pronto",N28)))</formula>
    </cfRule>
    <cfRule type="containsText" priority="407" operator="containsText" aboveAverage="0" equalAverage="0" bottom="0" percent="0" rank="0" text="empreita" dxfId="1308">
      <formula>NOT(ISERROR(SEARCH("empreita",N28)))</formula>
    </cfRule>
    <cfRule type="containsText" priority="408" operator="containsText" aboveAverage="0" equalAverage="0" bottom="0" percent="0" rank="0" text="previsto" dxfId="1309">
      <formula>NOT(ISERROR(SEARCH("previsto",N28)))</formula>
    </cfRule>
    <cfRule type="containsText" priority="409" operator="containsText" aboveAverage="0" equalAverage="0" bottom="0" percent="0" rank="0" text="produzindo" dxfId="1310">
      <formula>NOT(ISERROR(SEARCH("produzindo",N28)))</formula>
    </cfRule>
    <cfRule type="containsText" priority="410" operator="containsText" aboveAverage="0" equalAverage="0" bottom="0" percent="0" rank="0" text="material ok" dxfId="1311">
      <formula>NOT(ISERROR(SEARCH("material ok",N28)))</formula>
    </cfRule>
  </conditionalFormatting>
  <conditionalFormatting sqref="N47:N48 N50:N54 N5:N6">
    <cfRule type="containsText" priority="411" operator="containsText" aboveAverage="0" equalAverage="0" bottom="0" percent="0" rank="0" text="a montar" dxfId="1312">
      <formula>NOT(ISERROR(SEARCH("a montar",N5)))</formula>
    </cfRule>
  </conditionalFormatting>
  <conditionalFormatting sqref="N5:N6 N47:N48 N50:N54">
    <cfRule type="containsText" priority="412" operator="containsText" aboveAverage="0" equalAverage="0" bottom="0" percent="0" rank="0" text="a serrar" dxfId="1313">
      <formula>NOT(ISERROR(SEARCH("a serrar",N5)))</formula>
    </cfRule>
    <cfRule type="containsText" priority="413" operator="containsText" aboveAverage="0" equalAverage="0" bottom="0" percent="0" rank="0" text="pronto" dxfId="1314">
      <formula>NOT(ISERROR(SEARCH("pronto",N5)))</formula>
    </cfRule>
    <cfRule type="containsText" priority="414" operator="containsText" aboveAverage="0" equalAverage="0" bottom="0" percent="0" rank="0" text="empreita" dxfId="1315">
      <formula>NOT(ISERROR(SEARCH("empreita",N5)))</formula>
    </cfRule>
    <cfRule type="containsText" priority="415" operator="containsText" aboveAverage="0" equalAverage="0" bottom="0" percent="0" rank="0" text="previsto" dxfId="1316">
      <formula>NOT(ISERROR(SEARCH("previsto",N5)))</formula>
    </cfRule>
    <cfRule type="containsText" priority="416" operator="containsText" aboveAverage="0" equalAverage="0" bottom="0" percent="0" rank="0" text="produzindo" dxfId="1317">
      <formula>NOT(ISERROR(SEARCH("produzindo",N5)))</formula>
    </cfRule>
    <cfRule type="containsText" priority="417" operator="containsText" aboveAverage="0" equalAverage="0" bottom="0" percent="0" rank="0" text="material ok" dxfId="1318">
      <formula>NOT(ISERROR(SEARCH("material ok",N5)))</formula>
    </cfRule>
  </conditionalFormatting>
  <conditionalFormatting sqref="N105">
    <cfRule type="containsText" priority="418" operator="containsText" aboveAverage="0" equalAverage="0" bottom="0" percent="0" rank="0" text="a montar" dxfId="1319">
      <formula>NOT(ISERROR(SEARCH("a montar",N105)))</formula>
    </cfRule>
    <cfRule type="containsText" priority="419" operator="containsText" aboveAverage="0" equalAverage="0" bottom="0" percent="0" rank="0" text="a serrar" dxfId="1320">
      <formula>NOT(ISERROR(SEARCH("a serrar",N105)))</formula>
    </cfRule>
    <cfRule type="containsText" priority="420" operator="containsText" aboveAverage="0" equalAverage="0" bottom="0" percent="0" rank="0" text="pronto" dxfId="1321">
      <formula>NOT(ISERROR(SEARCH("pronto",N105)))</formula>
    </cfRule>
    <cfRule type="containsText" priority="421" operator="containsText" aboveAverage="0" equalAverage="0" bottom="0" percent="0" rank="0" text="empreita" dxfId="1322">
      <formula>NOT(ISERROR(SEARCH("empreita",N105)))</formula>
    </cfRule>
    <cfRule type="containsText" priority="422" operator="containsText" aboveAverage="0" equalAverage="0" bottom="0" percent="0" rank="0" text="previsto" dxfId="1323">
      <formula>NOT(ISERROR(SEARCH("previsto",N105)))</formula>
    </cfRule>
    <cfRule type="containsText" priority="423" operator="containsText" aboveAverage="0" equalAverage="0" bottom="0" percent="0" rank="0" text="produzindo" dxfId="1324">
      <formula>NOT(ISERROR(SEARCH("produzindo",N105)))</formula>
    </cfRule>
    <cfRule type="containsText" priority="424" operator="containsText" aboveAverage="0" equalAverage="0" bottom="0" percent="0" rank="0" text="material ok" dxfId="1325">
      <formula>NOT(ISERROR(SEARCH("material ok",N105)))</formula>
    </cfRule>
    <cfRule type="containsText" priority="425" operator="containsText" aboveAverage="0" equalAverage="0" bottom="0" percent="0" rank="0" text="a montar" dxfId="1326">
      <formula>NOT(ISERROR(SEARCH("a montar",N105)))</formula>
    </cfRule>
    <cfRule type="containsText" priority="426" operator="containsText" aboveAverage="0" equalAverage="0" bottom="0" percent="0" rank="0" text="a serrar" dxfId="1327">
      <formula>NOT(ISERROR(SEARCH("a serrar",N105)))</formula>
    </cfRule>
    <cfRule type="containsText" priority="427" operator="containsText" aboveAverage="0" equalAverage="0" bottom="0" percent="0" rank="0" text="pronto" dxfId="1328">
      <formula>NOT(ISERROR(SEARCH("pronto",N105)))</formula>
    </cfRule>
    <cfRule type="containsText" priority="428" operator="containsText" aboveAverage="0" equalAverage="0" bottom="0" percent="0" rank="0" text="empreita" dxfId="1329">
      <formula>NOT(ISERROR(SEARCH("empreita",N105)))</formula>
    </cfRule>
    <cfRule type="containsText" priority="429" operator="containsText" aboveAverage="0" equalAverage="0" bottom="0" percent="0" rank="0" text="previsto" dxfId="1330">
      <formula>NOT(ISERROR(SEARCH("previsto",N105)))</formula>
    </cfRule>
    <cfRule type="containsText" priority="430" operator="containsText" aboveAverage="0" equalAverage="0" bottom="0" percent="0" rank="0" text="produzindo" dxfId="1331">
      <formula>NOT(ISERROR(SEARCH("produzindo",N105)))</formula>
    </cfRule>
    <cfRule type="containsText" priority="431" operator="containsText" aboveAverage="0" equalAverage="0" bottom="0" percent="0" rank="0" text="material ok" dxfId="1332">
      <formula>NOT(ISERROR(SEARCH("material ok",N105)))</formula>
    </cfRule>
  </conditionalFormatting>
  <conditionalFormatting sqref="N11:N13">
    <cfRule type="containsText" priority="432" operator="containsText" aboveAverage="0" equalAverage="0" bottom="0" percent="0" rank="0" text="a montar" dxfId="1333">
      <formula>NOT(ISERROR(SEARCH("a montar",N11)))</formula>
    </cfRule>
    <cfRule type="containsText" priority="433" operator="containsText" aboveAverage="0" equalAverage="0" bottom="0" percent="0" rank="0" text="a serrar" dxfId="1334">
      <formula>NOT(ISERROR(SEARCH("a serrar",N11)))</formula>
    </cfRule>
    <cfRule type="containsText" priority="434" operator="containsText" aboveAverage="0" equalAverage="0" bottom="0" percent="0" rank="0" text="pronto" dxfId="1335">
      <formula>NOT(ISERROR(SEARCH("pronto",N11)))</formula>
    </cfRule>
    <cfRule type="containsText" priority="435" operator="containsText" aboveAverage="0" equalAverage="0" bottom="0" percent="0" rank="0" text="empreita" dxfId="1336">
      <formula>NOT(ISERROR(SEARCH("empreita",N11)))</formula>
    </cfRule>
    <cfRule type="containsText" priority="436" operator="containsText" aboveAverage="0" equalAverage="0" bottom="0" percent="0" rank="0" text="previsto" dxfId="1337">
      <formula>NOT(ISERROR(SEARCH("previsto",N11)))</formula>
    </cfRule>
    <cfRule type="containsText" priority="437" operator="containsText" aboveAverage="0" equalAverage="0" bottom="0" percent="0" rank="0" text="produzindo" dxfId="1338">
      <formula>NOT(ISERROR(SEARCH("produzindo",N11)))</formula>
    </cfRule>
    <cfRule type="containsText" priority="438" operator="containsText" aboveAverage="0" equalAverage="0" bottom="0" percent="0" rank="0" text="material ok" dxfId="1339">
      <formula>NOT(ISERROR(SEARCH("material ok",N11)))</formula>
    </cfRule>
  </conditionalFormatting>
  <conditionalFormatting sqref="N18">
    <cfRule type="containsText" priority="439" operator="containsText" aboveAverage="0" equalAverage="0" bottom="0" percent="0" rank="0" text="a montar" dxfId="1340">
      <formula>NOT(ISERROR(SEARCH("a montar",N18)))</formula>
    </cfRule>
    <cfRule type="containsText" priority="440" operator="containsText" aboveAverage="0" equalAverage="0" bottom="0" percent="0" rank="0" text="a serrar" dxfId="1341">
      <formula>NOT(ISERROR(SEARCH("a serrar",N18)))</formula>
    </cfRule>
    <cfRule type="containsText" priority="441" operator="containsText" aboveAverage="0" equalAverage="0" bottom="0" percent="0" rank="0" text="pronto" dxfId="1342">
      <formula>NOT(ISERROR(SEARCH("pronto",N18)))</formula>
    </cfRule>
    <cfRule type="containsText" priority="442" operator="containsText" aboveAverage="0" equalAverage="0" bottom="0" percent="0" rank="0" text="empreita" dxfId="1343">
      <formula>NOT(ISERROR(SEARCH("empreita",N18)))</formula>
    </cfRule>
    <cfRule type="containsText" priority="443" operator="containsText" aboveAverage="0" equalAverage="0" bottom="0" percent="0" rank="0" text="previsto" dxfId="1344">
      <formula>NOT(ISERROR(SEARCH("previsto",N18)))</formula>
    </cfRule>
    <cfRule type="containsText" priority="444" operator="containsText" aboveAverage="0" equalAverage="0" bottom="0" percent="0" rank="0" text="produzindo" dxfId="1345">
      <formula>NOT(ISERROR(SEARCH("produzindo",N18)))</formula>
    </cfRule>
    <cfRule type="containsText" priority="445" operator="containsText" aboveAverage="0" equalAverage="0" bottom="0" percent="0" rank="0" text="material ok" dxfId="1346">
      <formula>NOT(ISERROR(SEARCH("material ok",N18)))</formula>
    </cfRule>
  </conditionalFormatting>
  <conditionalFormatting sqref="N26">
    <cfRule type="containsText" priority="446" operator="containsText" aboveAverage="0" equalAverage="0" bottom="0" percent="0" rank="0" text="a montar" dxfId="1347">
      <formula>NOT(ISERROR(SEARCH("a montar",N26)))</formula>
    </cfRule>
    <cfRule type="containsText" priority="447" operator="containsText" aboveAverage="0" equalAverage="0" bottom="0" percent="0" rank="0" text="a serrar" dxfId="1348">
      <formula>NOT(ISERROR(SEARCH("a serrar",N26)))</formula>
    </cfRule>
    <cfRule type="containsText" priority="448" operator="containsText" aboveAverage="0" equalAverage="0" bottom="0" percent="0" rank="0" text="pronto" dxfId="1349">
      <formula>NOT(ISERROR(SEARCH("pronto",N26)))</formula>
    </cfRule>
    <cfRule type="containsText" priority="449" operator="containsText" aboveAverage="0" equalAverage="0" bottom="0" percent="0" rank="0" text="empreita" dxfId="1350">
      <formula>NOT(ISERROR(SEARCH("empreita",N26)))</formula>
    </cfRule>
    <cfRule type="containsText" priority="450" operator="containsText" aboveAverage="0" equalAverage="0" bottom="0" percent="0" rank="0" text="previsto" dxfId="1351">
      <formula>NOT(ISERROR(SEARCH("previsto",N26)))</formula>
    </cfRule>
    <cfRule type="containsText" priority="451" operator="containsText" aboveAverage="0" equalAverage="0" bottom="0" percent="0" rank="0" text="produzindo" dxfId="1352">
      <formula>NOT(ISERROR(SEARCH("produzindo",N26)))</formula>
    </cfRule>
    <cfRule type="containsText" priority="452" operator="containsText" aboveAverage="0" equalAverage="0" bottom="0" percent="0" rank="0" text="material ok" dxfId="1353">
      <formula>NOT(ISERROR(SEARCH("material ok",N26)))</formula>
    </cfRule>
  </conditionalFormatting>
  <conditionalFormatting sqref="N21:N37">
    <cfRule type="containsText" priority="453" operator="containsText" aboveAverage="0" equalAverage="0" bottom="0" percent="0" rank="0" text="a montar" dxfId="1354">
      <formula>NOT(ISERROR(SEARCH("a montar",N21)))</formula>
    </cfRule>
    <cfRule type="containsText" priority="454" operator="containsText" aboveAverage="0" equalAverage="0" bottom="0" percent="0" rank="0" text="a serrar" dxfId="1355">
      <formula>NOT(ISERROR(SEARCH("a serrar",N21)))</formula>
    </cfRule>
    <cfRule type="containsText" priority="455" operator="containsText" aboveAverage="0" equalAverage="0" bottom="0" percent="0" rank="0" text="pronto" dxfId="1356">
      <formula>NOT(ISERROR(SEARCH("pronto",N21)))</formula>
    </cfRule>
    <cfRule type="containsText" priority="456" operator="containsText" aboveAverage="0" equalAverage="0" bottom="0" percent="0" rank="0" text="empreita" dxfId="1357">
      <formula>NOT(ISERROR(SEARCH("empreita",N21)))</formula>
    </cfRule>
    <cfRule type="containsText" priority="457" operator="containsText" aboveAverage="0" equalAverage="0" bottom="0" percent="0" rank="0" text="previsto" dxfId="1358">
      <formula>NOT(ISERROR(SEARCH("previsto",N21)))</formula>
    </cfRule>
    <cfRule type="containsText" priority="458" operator="containsText" aboveAverage="0" equalAverage="0" bottom="0" percent="0" rank="0" text="produzindo" dxfId="1359">
      <formula>NOT(ISERROR(SEARCH("produzindo",N21)))</formula>
    </cfRule>
    <cfRule type="containsText" priority="459" operator="containsText" aboveAverage="0" equalAverage="0" bottom="0" percent="0" rank="0" text="material ok" dxfId="1360">
      <formula>NOT(ISERROR(SEARCH("material ok",N21)))</formula>
    </cfRule>
  </conditionalFormatting>
  <conditionalFormatting sqref="N8:N9">
    <cfRule type="containsText" priority="460" operator="containsText" aboveAverage="0" equalAverage="0" bottom="0" percent="0" rank="0" text="a montar" dxfId="1361">
      <formula>NOT(ISERROR(SEARCH("a montar",N8)))</formula>
    </cfRule>
    <cfRule type="containsText" priority="461" operator="containsText" aboveAverage="0" equalAverage="0" bottom="0" percent="0" rank="0" text="a serrar" dxfId="1362">
      <formula>NOT(ISERROR(SEARCH("a serrar",N8)))</formula>
    </cfRule>
    <cfRule type="containsText" priority="462" operator="containsText" aboveAverage="0" equalAverage="0" bottom="0" percent="0" rank="0" text="pronto" dxfId="1363">
      <formula>NOT(ISERROR(SEARCH("pronto",N8)))</formula>
    </cfRule>
    <cfRule type="containsText" priority="463" operator="containsText" aboveAverage="0" equalAverage="0" bottom="0" percent="0" rank="0" text="empreita" dxfId="1364">
      <formula>NOT(ISERROR(SEARCH("empreita",N8)))</formula>
    </cfRule>
    <cfRule type="containsText" priority="464" operator="containsText" aboveAverage="0" equalAverage="0" bottom="0" percent="0" rank="0" text="previsto" dxfId="1365">
      <formula>NOT(ISERROR(SEARCH("previsto",N8)))</formula>
    </cfRule>
    <cfRule type="containsText" priority="465" operator="containsText" aboveAverage="0" equalAverage="0" bottom="0" percent="0" rank="0" text="produzindo" dxfId="1366">
      <formula>NOT(ISERROR(SEARCH("produzindo",N8)))</formula>
    </cfRule>
    <cfRule type="containsText" priority="466" operator="containsText" aboveAverage="0" equalAverage="0" bottom="0" percent="0" rank="0" text="material ok" dxfId="1367">
      <formula>NOT(ISERROR(SEARCH("material ok",N8)))</formula>
    </cfRule>
  </conditionalFormatting>
  <conditionalFormatting sqref="N94">
    <cfRule type="containsText" priority="467" operator="containsText" aboveAverage="0" equalAverage="0" bottom="0" percent="0" rank="0" text="a serrar" dxfId="1368">
      <formula>NOT(ISERROR(SEARCH("a serrar",N94)))</formula>
    </cfRule>
    <cfRule type="containsText" priority="468" operator="containsText" aboveAverage="0" equalAverage="0" bottom="0" percent="0" rank="0" text="pronto" dxfId="1369">
      <formula>NOT(ISERROR(SEARCH("pronto",N94)))</formula>
    </cfRule>
    <cfRule type="containsText" priority="469" operator="containsText" aboveAverage="0" equalAverage="0" bottom="0" percent="0" rank="0" text="empreita" dxfId="1370">
      <formula>NOT(ISERROR(SEARCH("empreita",N94)))</formula>
    </cfRule>
    <cfRule type="containsText" priority="470" operator="containsText" aboveAverage="0" equalAverage="0" bottom="0" percent="0" rank="0" text="previsto" dxfId="1371">
      <formula>NOT(ISERROR(SEARCH("previsto",N94)))</formula>
    </cfRule>
    <cfRule type="containsText" priority="471" operator="containsText" aboveAverage="0" equalAverage="0" bottom="0" percent="0" rank="0" text="produzindo" dxfId="1372">
      <formula>NOT(ISERROR(SEARCH("produzindo",N94)))</formula>
    </cfRule>
    <cfRule type="containsText" priority="472" operator="containsText" aboveAverage="0" equalAverage="0" bottom="0" percent="0" rank="0" text="material ok" dxfId="1373">
      <formula>NOT(ISERROR(SEARCH("material ok",N94)))</formula>
    </cfRule>
    <cfRule type="containsText" priority="473" operator="containsText" aboveAverage="0" equalAverage="0" bottom="0" percent="0" rank="0" text="a montar" dxfId="1374">
      <formula>NOT(ISERROR(SEARCH("a montar",N94)))</formula>
    </cfRule>
  </conditionalFormatting>
  <conditionalFormatting sqref="N5:N16 N21:N37 N18:N19 M1 N1:N3">
    <cfRule type="containsText" priority="474" operator="containsText" aboveAverage="0" equalAverage="0" bottom="0" percent="0" rank="0" text="a montar" dxfId="1375">
      <formula>NOT(ISERROR(SEARCH("a montar",M1)))</formula>
    </cfRule>
  </conditionalFormatting>
  <conditionalFormatting sqref="M1 N1:N3 N5:N16 N18:N19 N21:N37 N104:N109 N67:N70 N85 N91:N92 N111 N116:N124 N126:N127">
    <cfRule type="containsText" priority="475" operator="containsText" aboveAverage="0" equalAverage="0" bottom="0" percent="0" rank="0" text="a serrar" dxfId="1376">
      <formula>NOT(ISERROR(SEARCH("a serrar",M1)))</formula>
    </cfRule>
  </conditionalFormatting>
  <conditionalFormatting sqref="M1 N1:N3 N5:N16 N18:N19 N21:N37 N67:N70 N85 N91:N92 N104:N109 N111 N116:N124 N126:N127">
    <cfRule type="containsText" priority="476" operator="containsText" aboveAverage="0" equalAverage="0" bottom="0" percent="0" rank="0" text="pronto" dxfId="1377">
      <formula>NOT(ISERROR(SEARCH("pronto",M1)))</formula>
    </cfRule>
    <cfRule type="containsText" priority="477" operator="containsText" aboveAverage="0" equalAverage="0" bottom="0" percent="0" rank="0" text="empreita" dxfId="1378">
      <formula>NOT(ISERROR(SEARCH("empreita",M1)))</formula>
    </cfRule>
    <cfRule type="containsText" priority="478" operator="containsText" aboveAverage="0" equalAverage="0" bottom="0" percent="0" rank="0" text="previsto" dxfId="1379">
      <formula>NOT(ISERROR(SEARCH("previsto",M1)))</formula>
    </cfRule>
    <cfRule type="containsText" priority="479" operator="containsText" aboveAverage="0" equalAverage="0" bottom="0" percent="0" rank="0" text="produzindo" dxfId="1380">
      <formula>NOT(ISERROR(SEARCH("produzindo",M1)))</formula>
    </cfRule>
    <cfRule type="containsText" priority="480" operator="containsText" aboveAverage="0" equalAverage="0" bottom="0" percent="0" rank="0" text="material ok" dxfId="1381">
      <formula>NOT(ISERROR(SEARCH("material ok",M1)))</formula>
    </cfRule>
  </conditionalFormatting>
  <conditionalFormatting sqref="N26 N28:N37 N67:N70 N85 N91:N92 N104:N109 N111 N113:N124 N126:N127 N59:N61 N56:N57 N63 N129:N166 N74:N82 N72 N65 J1 N87 N89 N96 N98 N100:N102">
    <cfRule type="containsText" priority="481" operator="containsText" aboveAverage="0" equalAverage="0" bottom="0" percent="0" rank="0" text="a montar" dxfId="1382">
      <formula>NOT(ISERROR(SEARCH("a montar",J1)))</formula>
    </cfRule>
  </conditionalFormatting>
  <conditionalFormatting sqref="J1 N26 N28:N37 N56:N57 N59:N61 N63 N65 N72 N74:N82 N87 N89 N96 N98 N100:N102 N104:N105 N107:N109 N111 N113:N115 N130:N166">
    <cfRule type="containsText" priority="482" operator="containsText" aboveAverage="0" equalAverage="0" bottom="0" percent="0" rank="0" text="a serrar" dxfId="1383">
      <formula>NOT(ISERROR(SEARCH("a serrar",J1)))</formula>
    </cfRule>
    <cfRule type="containsText" priority="483" operator="containsText" aboveAverage="0" equalAverage="0" bottom="0" percent="0" rank="0" text="pronto" dxfId="1384">
      <formula>NOT(ISERROR(SEARCH("pronto",J1)))</formula>
    </cfRule>
    <cfRule type="containsText" priority="484" operator="containsText" aboveAverage="0" equalAverage="0" bottom="0" percent="0" rank="0" text="empreita" dxfId="1385">
      <formula>NOT(ISERROR(SEARCH("empreita",J1)))</formula>
    </cfRule>
    <cfRule type="containsText" priority="485" operator="containsText" aboveAverage="0" equalAverage="0" bottom="0" percent="0" rank="0" text="previsto" dxfId="1386">
      <formula>NOT(ISERROR(SEARCH("previsto",J1)))</formula>
    </cfRule>
    <cfRule type="containsText" priority="486" operator="containsText" aboveAverage="0" equalAverage="0" bottom="0" percent="0" rank="0" text="produzindo" dxfId="1387">
      <formula>NOT(ISERROR(SEARCH("produzindo",J1)))</formula>
    </cfRule>
    <cfRule type="containsText" priority="487" operator="containsText" aboveAverage="0" equalAverage="0" bottom="0" percent="0" rank="0" text="material ok" dxfId="1388">
      <formula>NOT(ISERROR(SEARCH("material ok",J1)))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25" activeCellId="0" sqref="M25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2" style="0" width="16.29"/>
    <col collapsed="false" customWidth="true" hidden="false" outlineLevel="0" max="3" min="3" style="0" width="16.72"/>
    <col collapsed="false" customWidth="true" hidden="false" outlineLevel="0" max="4" min="4" style="0" width="6.71"/>
    <col collapsed="false" customWidth="true" hidden="false" outlineLevel="0" max="5" min="5" style="0" width="24.14"/>
    <col collapsed="false" customWidth="true" hidden="false" outlineLevel="0" max="6" min="6" style="0" width="9.29"/>
    <col collapsed="false" customWidth="true" hidden="false" outlineLevel="0" max="7" min="7" style="0" width="8"/>
    <col collapsed="false" customWidth="true" hidden="false" outlineLevel="0" max="10" min="10" style="0" width="8.14"/>
    <col collapsed="false" customWidth="true" hidden="false" outlineLevel="0" max="11" min="11" style="0" width="11.43"/>
    <col collapsed="false" customWidth="true" hidden="false" outlineLevel="0" max="12" min="12" style="0" width="9"/>
    <col collapsed="false" customWidth="true" hidden="false" outlineLevel="0" max="13" min="13" style="0" width="14.71"/>
    <col collapsed="false" customWidth="true" hidden="false" outlineLevel="0" max="14" min="14" style="0" width="10.57"/>
    <col collapsed="false" customWidth="true" hidden="false" outlineLevel="0" max="15" min="15" style="0" width="12.57"/>
    <col collapsed="false" customWidth="true" hidden="false" outlineLevel="0" max="16" min="16" style="0" width="12.86"/>
    <col collapsed="false" customWidth="true" hidden="false" outlineLevel="0" max="18" min="18" style="0" width="12.86"/>
  </cols>
  <sheetData>
    <row r="1" customFormat="false" ht="16.4" hidden="false" customHeight="false" outlineLevel="0" collapsed="false">
      <c r="A1" s="1"/>
      <c r="C1" s="2"/>
      <c r="D1" s="1"/>
      <c r="F1" s="1"/>
      <c r="G1" s="1"/>
      <c r="H1" s="1"/>
      <c r="I1" s="1"/>
      <c r="J1" s="3" t="s">
        <v>0</v>
      </c>
      <c r="K1" s="4" t="s">
        <v>1</v>
      </c>
      <c r="L1" s="5" t="s">
        <v>2</v>
      </c>
      <c r="M1" s="6" t="s">
        <v>3</v>
      </c>
      <c r="N1" s="3" t="s">
        <v>4</v>
      </c>
      <c r="O1" s="7" t="s">
        <v>5</v>
      </c>
      <c r="P1" s="8" t="s">
        <v>6</v>
      </c>
      <c r="Q1" s="9" t="s">
        <v>3</v>
      </c>
      <c r="R1" s="10"/>
      <c r="S1" s="11"/>
    </row>
    <row r="2" customFormat="false" ht="15" hidden="false" customHeight="false" outlineLevel="0" collapsed="false">
      <c r="A2" s="1"/>
      <c r="C2" s="2"/>
      <c r="D2" s="1"/>
      <c r="F2" s="1"/>
      <c r="G2" s="1"/>
      <c r="H2" s="1"/>
      <c r="I2" s="1"/>
      <c r="J2" s="1"/>
      <c r="K2" s="12"/>
      <c r="L2" s="13"/>
      <c r="M2" s="14"/>
      <c r="N2" s="15"/>
      <c r="O2" s="10"/>
      <c r="P2" s="1"/>
      <c r="Q2" s="11"/>
      <c r="R2" s="10"/>
      <c r="S2" s="11"/>
    </row>
    <row r="3" customFormat="false" ht="16.4" hidden="false" customHeight="false" outlineLevel="0" collapsed="false">
      <c r="A3" s="16" t="s">
        <v>7</v>
      </c>
      <c r="B3" s="16" t="s">
        <v>8</v>
      </c>
      <c r="C3" s="16" t="s">
        <v>9</v>
      </c>
      <c r="D3" s="16"/>
      <c r="E3" s="16" t="s">
        <v>10</v>
      </c>
      <c r="F3" s="16" t="s">
        <v>11</v>
      </c>
      <c r="G3" s="16" t="s">
        <v>12</v>
      </c>
      <c r="H3" s="17" t="s">
        <v>13</v>
      </c>
      <c r="I3" s="16" t="s">
        <v>14</v>
      </c>
      <c r="J3" s="16" t="s">
        <v>15</v>
      </c>
      <c r="K3" s="16" t="s">
        <v>16</v>
      </c>
      <c r="L3" s="18" t="s">
        <v>17</v>
      </c>
      <c r="M3" s="18" t="s">
        <v>18</v>
      </c>
      <c r="N3" s="19" t="s">
        <v>19</v>
      </c>
      <c r="O3" s="18"/>
      <c r="P3" s="16" t="s">
        <v>20</v>
      </c>
      <c r="Q3" s="20"/>
      <c r="R3" s="21"/>
      <c r="S3" s="16" t="s">
        <v>21</v>
      </c>
    </row>
    <row r="4" customFormat="false" ht="15" hidden="false" customHeight="false" outlineLevel="0" collapsed="false">
      <c r="A4" s="56"/>
      <c r="B4" s="56"/>
      <c r="C4" s="56"/>
      <c r="D4" s="56"/>
      <c r="E4" s="56"/>
      <c r="F4" s="56"/>
      <c r="G4" s="56"/>
      <c r="H4" s="57"/>
      <c r="I4" s="56"/>
      <c r="J4" s="56"/>
      <c r="K4" s="56"/>
      <c r="L4" s="58"/>
      <c r="M4" s="58"/>
      <c r="N4" s="59"/>
      <c r="O4" s="58"/>
      <c r="P4" s="56"/>
      <c r="Q4" s="60"/>
      <c r="R4" s="61"/>
      <c r="S4" s="56"/>
    </row>
    <row r="5" customFormat="false" ht="16.4" hidden="false" customHeight="false" outlineLevel="0" collapsed="false">
      <c r="A5" s="1" t="n">
        <v>6139</v>
      </c>
      <c r="B5" s="0" t="s">
        <v>353</v>
      </c>
      <c r="C5" s="0" t="s">
        <v>354</v>
      </c>
      <c r="D5" s="1" t="s">
        <v>24</v>
      </c>
      <c r="E5" s="0" t="s">
        <v>254</v>
      </c>
      <c r="F5" s="1" t="n">
        <v>4.74</v>
      </c>
      <c r="G5" s="1" t="n">
        <v>4.74</v>
      </c>
      <c r="H5" s="1" t="n">
        <f aca="false">-((G5*100/F5)-100)</f>
        <v>-0</v>
      </c>
      <c r="I5" s="33" t="n">
        <v>260</v>
      </c>
      <c r="J5" s="1" t="n">
        <f aca="false">(F5-G5)*I5</f>
        <v>0</v>
      </c>
      <c r="K5" s="0" t="n">
        <f aca="false">G5*I5</f>
        <v>1232.4</v>
      </c>
      <c r="M5" s="23" t="n">
        <v>5931</v>
      </c>
      <c r="N5" s="3" t="s">
        <v>4</v>
      </c>
      <c r="O5" s="23" t="n">
        <v>5931</v>
      </c>
      <c r="P5" s="0" t="s">
        <v>355</v>
      </c>
    </row>
    <row r="6" customFormat="false" ht="16.4" hidden="false" customHeight="false" outlineLevel="0" collapsed="false">
      <c r="A6" s="1" t="n">
        <v>6185</v>
      </c>
      <c r="B6" s="0" t="s">
        <v>347</v>
      </c>
      <c r="C6" s="0" t="s">
        <v>356</v>
      </c>
      <c r="D6" s="1" t="s">
        <v>53</v>
      </c>
      <c r="E6" s="0" t="s">
        <v>349</v>
      </c>
      <c r="F6" s="1" t="n">
        <v>0.55</v>
      </c>
      <c r="G6" s="1" t="n">
        <v>0.55</v>
      </c>
      <c r="H6" s="1" t="n">
        <f aca="false">-((G6*100/F6)-100)</f>
        <v>-0</v>
      </c>
      <c r="I6" s="33" t="n">
        <v>582</v>
      </c>
      <c r="J6" s="1" t="n">
        <f aca="false">(F6-G6)*I6</f>
        <v>0</v>
      </c>
      <c r="K6" s="0" t="n">
        <f aca="false">G6*I6</f>
        <v>320.1</v>
      </c>
      <c r="M6" s="23" t="n">
        <v>416</v>
      </c>
      <c r="N6" s="3" t="s">
        <v>4</v>
      </c>
      <c r="O6" s="23" t="n">
        <v>416</v>
      </c>
      <c r="P6" s="0" t="s">
        <v>31</v>
      </c>
    </row>
    <row r="7" customFormat="false" ht="16.4" hidden="false" customHeight="false" outlineLevel="0" collapsed="false">
      <c r="A7" s="1" t="n">
        <v>0</v>
      </c>
      <c r="B7" s="0" t="s">
        <v>357</v>
      </c>
      <c r="C7" s="0" t="s">
        <v>214</v>
      </c>
      <c r="D7" s="1" t="s">
        <v>37</v>
      </c>
      <c r="E7" s="0" t="s">
        <v>38</v>
      </c>
      <c r="F7" s="1" t="n">
        <v>0.37</v>
      </c>
      <c r="G7" s="1" t="n">
        <v>0.37</v>
      </c>
      <c r="H7" s="1"/>
      <c r="I7" s="33" t="n">
        <v>450</v>
      </c>
      <c r="J7" s="1" t="n">
        <f aca="false">(F7-G7)*I7</f>
        <v>0</v>
      </c>
      <c r="K7" s="0" t="n">
        <f aca="false">G7*I7</f>
        <v>166.5</v>
      </c>
      <c r="M7" s="23" t="n">
        <v>712</v>
      </c>
      <c r="N7" s="3" t="s">
        <v>4</v>
      </c>
      <c r="O7" s="23" t="n">
        <v>712</v>
      </c>
      <c r="P7" s="0" t="s">
        <v>31</v>
      </c>
    </row>
    <row r="8" customFormat="false" ht="16.4" hidden="false" customHeight="false" outlineLevel="0" collapsed="false">
      <c r="A8" s="1" t="n">
        <v>6088</v>
      </c>
      <c r="B8" s="0" t="s">
        <v>358</v>
      </c>
      <c r="C8" s="0" t="s">
        <v>110</v>
      </c>
      <c r="D8" s="1" t="s">
        <v>53</v>
      </c>
      <c r="E8" s="0" t="s">
        <v>68</v>
      </c>
      <c r="F8" s="1" t="n">
        <v>14.95</v>
      </c>
      <c r="G8" s="1" t="n">
        <v>14.95</v>
      </c>
      <c r="H8" s="1" t="n">
        <f aca="false">-((G8*100/F8)-100)</f>
        <v>-0</v>
      </c>
      <c r="I8" s="33" t="n">
        <v>530</v>
      </c>
      <c r="J8" s="1" t="n">
        <f aca="false">(F8-G8)*I8</f>
        <v>0</v>
      </c>
      <c r="K8" s="0" t="n">
        <f aca="false">G8*I8</f>
        <v>7923.5</v>
      </c>
      <c r="M8" s="23" t="n">
        <v>20000</v>
      </c>
      <c r="N8" s="3" t="s">
        <v>4</v>
      </c>
      <c r="O8" s="23" t="n">
        <v>20000</v>
      </c>
      <c r="P8" s="0" t="s">
        <v>29</v>
      </c>
    </row>
    <row r="9" customFormat="false" ht="15" hidden="false" customHeight="false" outlineLevel="0" collapsed="false">
      <c r="A9" s="1" t="n">
        <v>6181</v>
      </c>
      <c r="B9" s="0" t="s">
        <v>109</v>
      </c>
      <c r="C9" s="0" t="s">
        <v>99</v>
      </c>
      <c r="D9" s="1" t="s">
        <v>53</v>
      </c>
      <c r="E9" s="0" t="s">
        <v>349</v>
      </c>
      <c r="F9" s="1" t="n">
        <v>3.91</v>
      </c>
      <c r="G9" s="1" t="n">
        <v>3.91</v>
      </c>
      <c r="H9" s="1" t="n">
        <f aca="false">-((G9*100/F9)-100)</f>
        <v>-0</v>
      </c>
      <c r="I9" s="33" t="n">
        <v>582</v>
      </c>
      <c r="J9" s="1" t="n">
        <f aca="false">(F9-G9)*I9</f>
        <v>0</v>
      </c>
      <c r="K9" s="0" t="n">
        <f aca="false">G9*I9</f>
        <v>2275.62</v>
      </c>
      <c r="M9" s="23" t="n">
        <v>5771</v>
      </c>
      <c r="N9" s="1" t="s">
        <v>4</v>
      </c>
      <c r="O9" s="23" t="n">
        <v>5771</v>
      </c>
      <c r="P9" s="0" t="s">
        <v>29</v>
      </c>
    </row>
    <row r="10" customFormat="false" ht="16.4" hidden="false" customHeight="false" outlineLevel="0" collapsed="false">
      <c r="A10" s="1" t="n">
        <v>6192</v>
      </c>
      <c r="B10" s="0" t="s">
        <v>359</v>
      </c>
      <c r="C10" s="0" t="s">
        <v>360</v>
      </c>
      <c r="D10" s="1" t="s">
        <v>53</v>
      </c>
      <c r="E10" s="0" t="s">
        <v>68</v>
      </c>
      <c r="F10" s="1" t="n">
        <v>1.97</v>
      </c>
      <c r="G10" s="1" t="n">
        <v>1.97</v>
      </c>
      <c r="H10" s="1" t="n">
        <f aca="false">-((G10*100/F10)-100)</f>
        <v>-0</v>
      </c>
      <c r="I10" s="33" t="n">
        <v>582</v>
      </c>
      <c r="J10" s="1" t="n">
        <f aca="false">(F10-G10)*I10</f>
        <v>0</v>
      </c>
      <c r="K10" s="0" t="n">
        <f aca="false">G10*I10</f>
        <v>1146.54</v>
      </c>
      <c r="M10" s="23" t="n">
        <v>2555</v>
      </c>
      <c r="N10" s="3" t="s">
        <v>4</v>
      </c>
      <c r="O10" s="23" t="n">
        <v>2555</v>
      </c>
      <c r="P10" s="0" t="s">
        <v>29</v>
      </c>
      <c r="R10" s="10" t="n">
        <f aca="false">(O10-L10)/G10</f>
        <v>1296.95431472081</v>
      </c>
    </row>
    <row r="11" customFormat="false" ht="16.4" hidden="false" customHeight="false" outlineLevel="0" collapsed="false">
      <c r="A11" s="1" t="n">
        <v>6162</v>
      </c>
      <c r="B11" s="0" t="s">
        <v>361</v>
      </c>
      <c r="C11" s="0" t="s">
        <v>55</v>
      </c>
      <c r="D11" s="1" t="s">
        <v>24</v>
      </c>
      <c r="E11" s="0" t="s">
        <v>35</v>
      </c>
      <c r="F11" s="1" t="n">
        <v>3.97</v>
      </c>
      <c r="G11" s="1" t="n">
        <v>3.97</v>
      </c>
      <c r="H11" s="1" t="n">
        <f aca="false">-((G11*100/F11)-100)</f>
        <v>-0</v>
      </c>
      <c r="I11" s="33" t="n">
        <v>284</v>
      </c>
      <c r="J11" s="1" t="n">
        <f aca="false">(F11-G11)*I11</f>
        <v>0</v>
      </c>
      <c r="K11" s="0" t="n">
        <f aca="false">G11*I11</f>
        <v>1127.48</v>
      </c>
      <c r="M11" s="23" t="n">
        <v>4955</v>
      </c>
      <c r="N11" s="3" t="s">
        <v>4</v>
      </c>
      <c r="O11" s="23" t="n">
        <v>4955</v>
      </c>
      <c r="P11" s="0" t="s">
        <v>29</v>
      </c>
      <c r="R11" s="10"/>
    </row>
    <row r="12" customFormat="false" ht="15" hidden="false" customHeight="false" outlineLevel="0" collapsed="false">
      <c r="A12" s="1" t="n">
        <v>6157</v>
      </c>
      <c r="B12" s="0" t="s">
        <v>270</v>
      </c>
      <c r="C12" s="0" t="s">
        <v>55</v>
      </c>
      <c r="D12" s="1" t="s">
        <v>37</v>
      </c>
      <c r="E12" s="0" t="s">
        <v>362</v>
      </c>
      <c r="F12" s="1" t="n">
        <v>9.39</v>
      </c>
      <c r="G12" s="0" t="n">
        <v>9.39</v>
      </c>
      <c r="H12" s="1" t="n">
        <f aca="false">-((G12*100/F12)-100)</f>
        <v>-0</v>
      </c>
      <c r="I12" s="33" t="n">
        <v>950</v>
      </c>
      <c r="J12" s="1" t="n">
        <f aca="false">(F12-G12)*I12</f>
        <v>0</v>
      </c>
      <c r="K12" s="0" t="n">
        <f aca="false">G12*I12</f>
        <v>8920.5</v>
      </c>
      <c r="M12" s="23" t="n">
        <v>18464</v>
      </c>
      <c r="N12" s="1" t="s">
        <v>4</v>
      </c>
      <c r="O12" s="23" t="n">
        <v>18464</v>
      </c>
      <c r="P12" s="0" t="s">
        <v>29</v>
      </c>
    </row>
    <row r="13" customFormat="false" ht="16.4" hidden="false" customHeight="false" outlineLevel="0" collapsed="false">
      <c r="A13" s="1" t="n">
        <v>6189</v>
      </c>
      <c r="B13" s="0" t="s">
        <v>363</v>
      </c>
      <c r="C13" s="0" t="s">
        <v>130</v>
      </c>
      <c r="D13" s="1" t="s">
        <v>37</v>
      </c>
      <c r="E13" s="0" t="s">
        <v>38</v>
      </c>
      <c r="F13" s="1" t="n">
        <v>17.47</v>
      </c>
      <c r="G13" s="0" t="n">
        <v>17.47</v>
      </c>
      <c r="H13" s="1" t="n">
        <f aca="false">-((G13*100/F13)-100)</f>
        <v>-0</v>
      </c>
      <c r="I13" s="33" t="n">
        <v>450</v>
      </c>
      <c r="J13" s="1" t="n">
        <f aca="false">(F13-G13)*I13</f>
        <v>0</v>
      </c>
      <c r="K13" s="0" t="n">
        <f aca="false">G13*I13</f>
        <v>7861.5</v>
      </c>
      <c r="M13" s="23" t="n">
        <v>26698</v>
      </c>
      <c r="N13" s="3" t="s">
        <v>4</v>
      </c>
      <c r="O13" s="23" t="n">
        <v>26698</v>
      </c>
      <c r="P13" s="0" t="s">
        <v>29</v>
      </c>
      <c r="R13" s="10" t="n">
        <f aca="false">(O13-L13)/G13</f>
        <v>1528.21980538065</v>
      </c>
    </row>
    <row r="14" customFormat="false" ht="15" hidden="false" customHeight="false" outlineLevel="0" collapsed="false">
      <c r="A14" s="1" t="n">
        <v>6189</v>
      </c>
      <c r="B14" s="0" t="s">
        <v>363</v>
      </c>
      <c r="C14" s="0" t="s">
        <v>58</v>
      </c>
      <c r="D14" s="1" t="s">
        <v>37</v>
      </c>
      <c r="E14" s="0" t="s">
        <v>364</v>
      </c>
      <c r="F14" s="1" t="n">
        <v>0.95</v>
      </c>
      <c r="G14" s="0" t="n">
        <v>0.95</v>
      </c>
      <c r="H14" s="1" t="n">
        <f aca="false">-((G14*100/F14)-100)</f>
        <v>-0</v>
      </c>
      <c r="I14" s="33" t="n">
        <v>405</v>
      </c>
      <c r="J14" s="1" t="n">
        <f aca="false">(F14-G14)*I14</f>
        <v>0</v>
      </c>
      <c r="K14" s="0" t="n">
        <f aca="false">G14*I14</f>
        <v>384.75</v>
      </c>
      <c r="M14" s="23" t="n">
        <v>1451</v>
      </c>
      <c r="N14" s="1" t="s">
        <v>4</v>
      </c>
      <c r="O14" s="23" t="n">
        <v>1451</v>
      </c>
      <c r="P14" s="0" t="s">
        <v>29</v>
      </c>
    </row>
    <row r="15" customFormat="false" ht="16.4" hidden="false" customHeight="false" outlineLevel="0" collapsed="false">
      <c r="A15" s="1" t="n">
        <v>6189</v>
      </c>
      <c r="B15" s="0" t="s">
        <v>363</v>
      </c>
      <c r="C15" s="0" t="s">
        <v>154</v>
      </c>
      <c r="D15" s="1" t="s">
        <v>53</v>
      </c>
      <c r="E15" s="0" t="s">
        <v>54</v>
      </c>
      <c r="F15" s="1" t="n">
        <v>1.26</v>
      </c>
      <c r="G15" s="0" t="n">
        <v>1.26</v>
      </c>
      <c r="H15" s="1" t="n">
        <f aca="false">-((G15*100/F15)-100)</f>
        <v>-0</v>
      </c>
      <c r="I15" s="33" t="n">
        <v>816</v>
      </c>
      <c r="J15" s="1" t="n">
        <f aca="false">(F15-G15)*I15</f>
        <v>0</v>
      </c>
      <c r="K15" s="0" t="n">
        <f aca="false">G15*I15</f>
        <v>1028.16</v>
      </c>
      <c r="M15" s="23" t="n">
        <v>2540</v>
      </c>
      <c r="N15" s="3" t="s">
        <v>4</v>
      </c>
      <c r="O15" s="23" t="n">
        <v>2540</v>
      </c>
      <c r="P15" s="0" t="s">
        <v>29</v>
      </c>
      <c r="R15" s="10" t="n">
        <f aca="false">(O15-L15)/G15</f>
        <v>2015.87301587302</v>
      </c>
    </row>
    <row r="16" customFormat="false" ht="15" hidden="false" customHeight="false" outlineLevel="0" collapsed="false">
      <c r="A16" s="1" t="n">
        <v>6142</v>
      </c>
      <c r="B16" s="0" t="s">
        <v>159</v>
      </c>
      <c r="C16" s="0" t="s">
        <v>67</v>
      </c>
      <c r="D16" s="1" t="s">
        <v>37</v>
      </c>
      <c r="E16" s="0" t="s">
        <v>335</v>
      </c>
      <c r="F16" s="1" t="n">
        <v>0.63</v>
      </c>
      <c r="G16" s="1" t="n">
        <v>0.63</v>
      </c>
      <c r="H16" s="1" t="n">
        <f aca="false">-((G16*100/F16)-100)</f>
        <v>-0</v>
      </c>
      <c r="I16" s="33" t="n">
        <v>1116</v>
      </c>
      <c r="J16" s="1" t="n">
        <f aca="false">(F16-G16)*I16</f>
        <v>0</v>
      </c>
      <c r="K16" s="0" t="n">
        <f aca="false">G16*I16</f>
        <v>703.08</v>
      </c>
      <c r="M16" s="23" t="n">
        <v>1789</v>
      </c>
      <c r="N16" s="1" t="s">
        <v>4</v>
      </c>
      <c r="O16" s="23" t="n">
        <v>1789</v>
      </c>
      <c r="P16" s="0" t="s">
        <v>29</v>
      </c>
    </row>
    <row r="17" customFormat="false" ht="16.4" hidden="false" customHeight="false" outlineLevel="0" collapsed="false">
      <c r="A17" s="1" t="n">
        <v>6166</v>
      </c>
      <c r="B17" s="0" t="s">
        <v>33</v>
      </c>
      <c r="C17" s="0" t="s">
        <v>34</v>
      </c>
      <c r="D17" s="1" t="s">
        <v>24</v>
      </c>
      <c r="E17" s="0" t="s">
        <v>35</v>
      </c>
      <c r="F17" s="1" t="n">
        <v>1.66</v>
      </c>
      <c r="G17" s="1" t="n">
        <v>1.66</v>
      </c>
      <c r="H17" s="1" t="n">
        <f aca="false">-((G17*100/F17)-100)</f>
        <v>-0</v>
      </c>
      <c r="I17" s="33" t="n">
        <v>284</v>
      </c>
      <c r="J17" s="1" t="n">
        <f aca="false">(F17-G17)*I17</f>
        <v>0</v>
      </c>
      <c r="K17" s="0" t="n">
        <f aca="false">G17*I17</f>
        <v>471.44</v>
      </c>
      <c r="M17" s="23" t="n">
        <v>1676</v>
      </c>
      <c r="N17" s="1" t="s">
        <v>4</v>
      </c>
      <c r="O17" s="23" t="n">
        <v>1676</v>
      </c>
      <c r="P17" s="0" t="s">
        <v>29</v>
      </c>
      <c r="R17" s="10" t="n">
        <f aca="false">(O17-L17)/G17</f>
        <v>1009.63855421687</v>
      </c>
    </row>
    <row r="18" customFormat="false" ht="15" hidden="false" customHeight="false" outlineLevel="0" collapsed="false">
      <c r="A18" s="1" t="n">
        <v>6166</v>
      </c>
      <c r="B18" s="0" t="s">
        <v>33</v>
      </c>
      <c r="C18" s="0" t="s">
        <v>34</v>
      </c>
      <c r="D18" s="1" t="s">
        <v>24</v>
      </c>
      <c r="E18" s="0" t="s">
        <v>35</v>
      </c>
      <c r="F18" s="1" t="n">
        <v>0.81</v>
      </c>
      <c r="G18" s="1" t="n">
        <v>0.81</v>
      </c>
      <c r="H18" s="1" t="n">
        <f aca="false">-((G18*100/F18)-100)</f>
        <v>-0</v>
      </c>
      <c r="I18" s="33" t="n">
        <v>284</v>
      </c>
      <c r="J18" s="1" t="n">
        <f aca="false">(F18-G18)*I18</f>
        <v>0</v>
      </c>
      <c r="K18" s="0" t="n">
        <f aca="false">G18*I18</f>
        <v>230.04</v>
      </c>
      <c r="M18" s="23" t="n">
        <v>680</v>
      </c>
      <c r="N18" s="1" t="s">
        <v>4</v>
      </c>
      <c r="O18" s="23" t="n">
        <v>680</v>
      </c>
      <c r="P18" s="0" t="s">
        <v>29</v>
      </c>
    </row>
    <row r="19" customFormat="false" ht="16.4" hidden="false" customHeight="false" outlineLevel="0" collapsed="false">
      <c r="A19" s="1" t="n">
        <v>6182</v>
      </c>
      <c r="B19" s="0" t="s">
        <v>147</v>
      </c>
      <c r="C19" s="0" t="s">
        <v>55</v>
      </c>
      <c r="D19" s="1" t="s">
        <v>53</v>
      </c>
      <c r="E19" s="0" t="s">
        <v>68</v>
      </c>
      <c r="F19" s="1" t="n">
        <v>14.72</v>
      </c>
      <c r="G19" s="1" t="n">
        <v>14.88</v>
      </c>
      <c r="H19" s="1" t="n">
        <f aca="false">-((G19*100/F19)-100)</f>
        <v>-1.08695652173913</v>
      </c>
      <c r="I19" s="33" t="n">
        <v>600</v>
      </c>
      <c r="J19" s="1" t="n">
        <f aca="false">(F19-G19)*I19</f>
        <v>-96.0000000000001</v>
      </c>
      <c r="K19" s="0" t="n">
        <f aca="false">G19*I19</f>
        <v>8928</v>
      </c>
      <c r="M19" s="23" t="n">
        <v>25000</v>
      </c>
      <c r="N19" s="3" t="s">
        <v>4</v>
      </c>
      <c r="O19" s="23" t="n">
        <v>25000</v>
      </c>
      <c r="P19" s="0" t="s">
        <v>29</v>
      </c>
      <c r="R19" s="10" t="n">
        <f aca="false">(O19-L19)/G19</f>
        <v>1680.10752688172</v>
      </c>
    </row>
    <row r="20" customFormat="false" ht="15" hidden="false" customHeight="false" outlineLevel="0" collapsed="false">
      <c r="A20" s="1" t="n">
        <v>6142</v>
      </c>
      <c r="B20" s="0" t="s">
        <v>159</v>
      </c>
      <c r="C20" s="0" t="s">
        <v>365</v>
      </c>
      <c r="D20" s="1" t="s">
        <v>37</v>
      </c>
      <c r="E20" s="0" t="s">
        <v>38</v>
      </c>
      <c r="F20" s="1" t="n">
        <v>0.82</v>
      </c>
      <c r="G20" s="1" t="n">
        <v>0.82</v>
      </c>
      <c r="H20" s="1" t="n">
        <f aca="false">-((G20*100/F20)-100)</f>
        <v>-0</v>
      </c>
      <c r="I20" s="33" t="n">
        <v>450</v>
      </c>
      <c r="J20" s="1" t="n">
        <f aca="false">(F20-G20)*I20</f>
        <v>0</v>
      </c>
      <c r="K20" s="0" t="n">
        <f aca="false">G20*I20</f>
        <v>369</v>
      </c>
      <c r="M20" s="23" t="n">
        <v>1474</v>
      </c>
      <c r="N20" s="1" t="s">
        <v>4</v>
      </c>
      <c r="O20" s="23" t="n">
        <v>1474</v>
      </c>
      <c r="P20" s="0" t="s">
        <v>29</v>
      </c>
    </row>
    <row r="21" customFormat="false" ht="16.4" hidden="false" customHeight="false" outlineLevel="0" collapsed="false">
      <c r="A21" s="1" t="n">
        <v>6185</v>
      </c>
      <c r="B21" s="0" t="s">
        <v>347</v>
      </c>
      <c r="C21" s="0" t="s">
        <v>42</v>
      </c>
      <c r="D21" s="1" t="s">
        <v>53</v>
      </c>
      <c r="E21" s="0" t="s">
        <v>349</v>
      </c>
      <c r="F21" s="1" t="n">
        <v>1.34</v>
      </c>
      <c r="G21" s="1" t="n">
        <v>1.34</v>
      </c>
      <c r="H21" s="1" t="n">
        <f aca="false">-((G21*100/F21)-100)</f>
        <v>-0</v>
      </c>
      <c r="I21" s="33" t="n">
        <v>582</v>
      </c>
      <c r="J21" s="1" t="n">
        <f aca="false">(F21-G21)*I21</f>
        <v>0</v>
      </c>
      <c r="K21" s="0" t="n">
        <f aca="false">G21*I21</f>
        <v>779.88</v>
      </c>
      <c r="M21" s="23" t="n">
        <v>2028</v>
      </c>
      <c r="N21" s="3" t="s">
        <v>4</v>
      </c>
      <c r="O21" s="23" t="n">
        <v>2028</v>
      </c>
      <c r="P21" s="0" t="s">
        <v>26</v>
      </c>
      <c r="R21" s="10" t="n">
        <f aca="false">(O21-L21)/G21</f>
        <v>1513.4328358209</v>
      </c>
    </row>
    <row r="22" customFormat="false" ht="15" hidden="false" customHeight="false" outlineLevel="0" collapsed="false">
      <c r="A22" s="1" t="n">
        <v>6088</v>
      </c>
      <c r="B22" s="0" t="s">
        <v>358</v>
      </c>
      <c r="C22" s="0" t="s">
        <v>110</v>
      </c>
      <c r="D22" s="1" t="s">
        <v>53</v>
      </c>
      <c r="E22" s="0" t="s">
        <v>68</v>
      </c>
      <c r="F22" s="1" t="n">
        <v>14.95</v>
      </c>
      <c r="G22" s="1" t="n">
        <v>14.95</v>
      </c>
      <c r="H22" s="1" t="n">
        <f aca="false">-((G22*100/F22)-100)</f>
        <v>-0</v>
      </c>
      <c r="I22" s="33" t="n">
        <v>530</v>
      </c>
      <c r="J22" s="1" t="n">
        <f aca="false">(F22-G22)*I22</f>
        <v>0</v>
      </c>
      <c r="K22" s="0" t="n">
        <f aca="false">G22*I22</f>
        <v>7923.5</v>
      </c>
      <c r="M22" s="23" t="n">
        <v>20000</v>
      </c>
      <c r="N22" s="1" t="s">
        <v>4</v>
      </c>
      <c r="O22" s="23" t="n">
        <v>20000</v>
      </c>
      <c r="P22" s="0" t="s">
        <v>26</v>
      </c>
    </row>
    <row r="23" customFormat="false" ht="16.4" hidden="false" customHeight="false" outlineLevel="0" collapsed="false">
      <c r="A23" s="1" t="n">
        <v>6142</v>
      </c>
      <c r="B23" s="0" t="s">
        <v>159</v>
      </c>
      <c r="C23" s="0" t="s">
        <v>366</v>
      </c>
      <c r="D23" s="1" t="s">
        <v>37</v>
      </c>
      <c r="E23" s="0" t="s">
        <v>335</v>
      </c>
      <c r="F23" s="1" t="n">
        <v>1.82</v>
      </c>
      <c r="G23" s="1" t="n">
        <v>1.82</v>
      </c>
      <c r="H23" s="1" t="n">
        <f aca="false">-((G23*100/F23)-100)</f>
        <v>-0</v>
      </c>
      <c r="I23" s="33" t="n">
        <v>1116</v>
      </c>
      <c r="J23" s="1" t="n">
        <f aca="false">(F23-G23)*I23</f>
        <v>0</v>
      </c>
      <c r="K23" s="0" t="n">
        <f aca="false">G23*I23</f>
        <v>2031.12</v>
      </c>
      <c r="M23" s="23" t="n">
        <v>5169</v>
      </c>
      <c r="N23" s="1" t="s">
        <v>4</v>
      </c>
      <c r="O23" s="23" t="n">
        <v>5169</v>
      </c>
      <c r="P23" s="0" t="s">
        <v>26</v>
      </c>
      <c r="R23" s="10" t="n">
        <f aca="false">(O23-L23)/G23</f>
        <v>2840.10989010989</v>
      </c>
    </row>
    <row r="24" customFormat="false" ht="15" hidden="false" customHeight="false" outlineLevel="0" collapsed="false">
      <c r="A24" s="1" t="n">
        <v>6193</v>
      </c>
      <c r="B24" s="0" t="s">
        <v>181</v>
      </c>
      <c r="C24" s="0" t="s">
        <v>367</v>
      </c>
      <c r="D24" s="1" t="s">
        <v>24</v>
      </c>
      <c r="E24" s="0" t="s">
        <v>243</v>
      </c>
      <c r="F24" s="1" t="n">
        <v>1.51</v>
      </c>
      <c r="G24" s="0" t="n">
        <v>1.44</v>
      </c>
      <c r="H24" s="1" t="n">
        <f aca="false">-((G24*100/F24)-100)</f>
        <v>4.63576158940397</v>
      </c>
      <c r="I24" s="33" t="n">
        <v>268</v>
      </c>
      <c r="J24" s="1" t="n">
        <f aca="false">(F24-G24)*I24</f>
        <v>18.76</v>
      </c>
      <c r="K24" s="0" t="n">
        <f aca="false">G24*I24</f>
        <v>385.92</v>
      </c>
      <c r="M24" s="23" t="n">
        <v>1850</v>
      </c>
      <c r="N24" s="1" t="s">
        <v>4</v>
      </c>
      <c r="O24" s="23" t="n">
        <v>1850</v>
      </c>
      <c r="P24" s="0" t="s">
        <v>26</v>
      </c>
    </row>
    <row r="25" customFormat="false" ht="16.4" hidden="false" customHeight="false" outlineLevel="0" collapsed="false">
      <c r="A25" s="1" t="n">
        <v>6186</v>
      </c>
      <c r="B25" s="0" t="s">
        <v>329</v>
      </c>
      <c r="C25" s="0" t="s">
        <v>59</v>
      </c>
      <c r="D25" s="1" t="s">
        <v>53</v>
      </c>
      <c r="E25" s="0" t="s">
        <v>68</v>
      </c>
      <c r="F25" s="1" t="n">
        <v>4.52</v>
      </c>
      <c r="G25" s="0" t="n">
        <v>4.52</v>
      </c>
      <c r="H25" s="1" t="n">
        <f aca="false">-((G25*100/F25)-100)</f>
        <v>-0</v>
      </c>
      <c r="I25" s="33" t="n">
        <v>582</v>
      </c>
      <c r="J25" s="1" t="n">
        <f aca="false">(F25-G25)*I25</f>
        <v>0</v>
      </c>
      <c r="K25" s="0" t="n">
        <f aca="false">G25*I25</f>
        <v>2630.64</v>
      </c>
      <c r="M25" s="23" t="n">
        <v>8000</v>
      </c>
      <c r="N25" s="1" t="s">
        <v>4</v>
      </c>
      <c r="O25" s="23" t="n">
        <v>8000</v>
      </c>
      <c r="P25" s="0" t="s">
        <v>26</v>
      </c>
      <c r="R25" s="10" t="n">
        <f aca="false">(O25-L25)/G25</f>
        <v>1769.91150442478</v>
      </c>
    </row>
    <row r="26" customFormat="false" ht="16.4" hidden="false" customHeight="false" outlineLevel="0" collapsed="false">
      <c r="A26" s="1" t="n">
        <v>6157</v>
      </c>
      <c r="B26" s="0" t="s">
        <v>270</v>
      </c>
      <c r="C26" s="0" t="s">
        <v>55</v>
      </c>
      <c r="D26" s="1" t="s">
        <v>37</v>
      </c>
      <c r="E26" s="0" t="s">
        <v>362</v>
      </c>
      <c r="F26" s="1" t="n">
        <v>9.39</v>
      </c>
      <c r="G26" s="0" t="n">
        <v>9.39</v>
      </c>
      <c r="H26" s="1" t="n">
        <f aca="false">-((G26*100/F26)-100)</f>
        <v>-0</v>
      </c>
      <c r="I26" s="33" t="n">
        <v>950</v>
      </c>
      <c r="J26" s="1" t="n">
        <f aca="false">(F26-G26)*I26</f>
        <v>0</v>
      </c>
      <c r="K26" s="0" t="n">
        <f aca="false">G26*I26</f>
        <v>8920.5</v>
      </c>
      <c r="M26" s="23" t="n">
        <v>18464</v>
      </c>
      <c r="N26" s="1" t="s">
        <v>4</v>
      </c>
      <c r="O26" s="23" t="n">
        <v>18464</v>
      </c>
      <c r="P26" s="0" t="s">
        <v>26</v>
      </c>
      <c r="R26" s="10"/>
    </row>
    <row r="27" customFormat="false" ht="16.4" hidden="false" customHeight="false" outlineLevel="0" collapsed="false">
      <c r="A27" s="1" t="n">
        <v>6157</v>
      </c>
      <c r="B27" s="0" t="s">
        <v>270</v>
      </c>
      <c r="C27" s="0" t="s">
        <v>59</v>
      </c>
      <c r="D27" s="1" t="s">
        <v>37</v>
      </c>
      <c r="E27" s="0" t="s">
        <v>368</v>
      </c>
      <c r="F27" s="1" t="n">
        <v>3.01</v>
      </c>
      <c r="G27" s="0" t="n">
        <v>3.01</v>
      </c>
      <c r="H27" s="1" t="n">
        <f aca="false">-((G27*100/F27)-100)</f>
        <v>-0</v>
      </c>
      <c r="I27" s="33" t="n">
        <v>650</v>
      </c>
      <c r="J27" s="1" t="n">
        <f aca="false">(F27-G27)*I27</f>
        <v>0</v>
      </c>
      <c r="K27" s="0" t="n">
        <f aca="false">G27*I27</f>
        <v>1956.5</v>
      </c>
      <c r="M27" s="23" t="n">
        <v>5174</v>
      </c>
      <c r="N27" s="1" t="s">
        <v>4</v>
      </c>
      <c r="O27" s="23" t="n">
        <v>5174</v>
      </c>
      <c r="P27" s="0" t="s">
        <v>26</v>
      </c>
      <c r="R27" s="10" t="n">
        <f aca="false">(O27-L27)/G27</f>
        <v>1718.93687707641</v>
      </c>
    </row>
    <row r="28" customFormat="false" ht="15" hidden="false" customHeight="false" outlineLevel="0" collapsed="false">
      <c r="A28" s="1" t="n">
        <v>6190</v>
      </c>
      <c r="B28" s="0" t="s">
        <v>369</v>
      </c>
      <c r="C28" s="0" t="s">
        <v>59</v>
      </c>
      <c r="D28" s="1" t="s">
        <v>53</v>
      </c>
      <c r="E28" s="0" t="s">
        <v>370</v>
      </c>
      <c r="F28" s="1" t="n">
        <v>1.31</v>
      </c>
      <c r="G28" s="0" t="n">
        <v>1.31</v>
      </c>
      <c r="H28" s="1" t="n">
        <f aca="false">-((G28*100/F28)-100)</f>
        <v>-0</v>
      </c>
      <c r="I28" s="33" t="n">
        <v>164</v>
      </c>
      <c r="J28" s="1" t="n">
        <f aca="false">(F28-G28)*I28</f>
        <v>0</v>
      </c>
      <c r="K28" s="0" t="n">
        <f aca="false">G28*I28</f>
        <v>214.84</v>
      </c>
      <c r="M28" s="23" t="n">
        <v>1991</v>
      </c>
      <c r="N28" s="1" t="s">
        <v>4</v>
      </c>
      <c r="O28" s="23" t="n">
        <v>1991</v>
      </c>
      <c r="P28" s="0" t="s">
        <v>26</v>
      </c>
      <c r="R28" s="10"/>
    </row>
    <row r="29" customFormat="false" ht="16.4" hidden="false" customHeight="false" outlineLevel="0" collapsed="false">
      <c r="A29" s="1" t="n">
        <v>6142</v>
      </c>
      <c r="B29" s="0" t="s">
        <v>159</v>
      </c>
      <c r="C29" s="0" t="s">
        <v>371</v>
      </c>
      <c r="D29" s="1" t="s">
        <v>37</v>
      </c>
      <c r="E29" s="0" t="s">
        <v>335</v>
      </c>
      <c r="F29" s="1" t="n">
        <v>2.68</v>
      </c>
      <c r="G29" s="1" t="n">
        <v>2.68</v>
      </c>
      <c r="H29" s="1" t="n">
        <f aca="false">-((G29*100/F29)-100)</f>
        <v>-0</v>
      </c>
      <c r="I29" s="33" t="n">
        <v>1116</v>
      </c>
      <c r="J29" s="1" t="n">
        <f aca="false">(F29-G29)*I29</f>
        <v>0</v>
      </c>
      <c r="K29" s="0" t="n">
        <f aca="false">G29*I29</f>
        <v>2990.88</v>
      </c>
      <c r="M29" s="23" t="n">
        <v>6333</v>
      </c>
      <c r="N29" s="1" t="s">
        <v>4</v>
      </c>
      <c r="O29" s="23" t="n">
        <v>6333</v>
      </c>
      <c r="P29" s="0" t="s">
        <v>26</v>
      </c>
      <c r="R29" s="10" t="n">
        <f aca="false">(O29-L29)/G29</f>
        <v>2363.05970149254</v>
      </c>
    </row>
    <row r="30" customFormat="false" ht="15" hidden="false" customHeight="false" outlineLevel="0" collapsed="false">
      <c r="A30" s="1" t="n">
        <v>6142</v>
      </c>
      <c r="B30" s="0" t="s">
        <v>159</v>
      </c>
      <c r="C30" s="0" t="s">
        <v>59</v>
      </c>
      <c r="D30" s="1" t="s">
        <v>37</v>
      </c>
      <c r="E30" s="0" t="s">
        <v>372</v>
      </c>
      <c r="F30" s="1" t="n">
        <v>15.54</v>
      </c>
      <c r="G30" s="1" t="n">
        <v>13.91</v>
      </c>
      <c r="H30" s="1" t="n">
        <f aca="false">-((G30*100/F30)-100)</f>
        <v>10.4890604890605</v>
      </c>
      <c r="I30" s="33" t="n">
        <v>660</v>
      </c>
      <c r="J30" s="1" t="n">
        <f aca="false">(F30-G30)*I30</f>
        <v>1075.8</v>
      </c>
      <c r="K30" s="0" t="n">
        <f aca="false">G30*I30</f>
        <v>9180.6</v>
      </c>
      <c r="M30" s="23" t="n">
        <v>26894</v>
      </c>
      <c r="N30" s="1" t="s">
        <v>4</v>
      </c>
      <c r="O30" s="23" t="n">
        <v>26894</v>
      </c>
      <c r="P30" s="0" t="s">
        <v>26</v>
      </c>
      <c r="R30" s="10"/>
    </row>
    <row r="31" customFormat="false" ht="16.4" hidden="false" customHeight="false" outlineLevel="0" collapsed="false">
      <c r="A31" s="1" t="n">
        <v>6142</v>
      </c>
      <c r="B31" s="0" t="s">
        <v>159</v>
      </c>
      <c r="C31" s="0" t="s">
        <v>373</v>
      </c>
      <c r="D31" s="1" t="s">
        <v>37</v>
      </c>
      <c r="E31" s="0" t="s">
        <v>372</v>
      </c>
      <c r="F31" s="1" t="n">
        <v>1.15</v>
      </c>
      <c r="G31" s="1" t="n">
        <v>1.15</v>
      </c>
      <c r="H31" s="1" t="n">
        <f aca="false">-((G31*100/F31)-100)</f>
        <v>-0</v>
      </c>
      <c r="I31" s="33" t="n">
        <v>660</v>
      </c>
      <c r="J31" s="1" t="n">
        <f aca="false">(F31-G31)*I31</f>
        <v>0</v>
      </c>
      <c r="K31" s="0" t="n">
        <f aca="false">G31*I31</f>
        <v>759</v>
      </c>
      <c r="M31" s="23" t="n">
        <v>1989</v>
      </c>
      <c r="N31" s="3" t="s">
        <v>4</v>
      </c>
      <c r="O31" s="23" t="n">
        <v>1989</v>
      </c>
      <c r="P31" s="0" t="s">
        <v>26</v>
      </c>
      <c r="R31" s="10" t="n">
        <f aca="false">(O31-L31)/G31</f>
        <v>1729.5652173913</v>
      </c>
    </row>
    <row r="32" customFormat="false" ht="16.4" hidden="false" customHeight="false" outlineLevel="0" collapsed="false">
      <c r="A32" s="1" t="n">
        <v>6195</v>
      </c>
      <c r="B32" s="0" t="s">
        <v>374</v>
      </c>
      <c r="C32" s="0" t="s">
        <v>167</v>
      </c>
      <c r="D32" s="1"/>
      <c r="E32" s="0" t="s">
        <v>46</v>
      </c>
      <c r="F32" s="1" t="n">
        <v>2.86</v>
      </c>
      <c r="G32" s="1" t="n">
        <v>0</v>
      </c>
      <c r="H32" s="1" t="n">
        <f aca="false">-((G32*100/F32)-100)</f>
        <v>100</v>
      </c>
      <c r="J32" s="1" t="n">
        <f aca="false">(F32-G32)*I32</f>
        <v>0</v>
      </c>
      <c r="K32" s="0" t="n">
        <f aca="false">G32*I32</f>
        <v>0</v>
      </c>
      <c r="M32" s="23" t="n">
        <v>2573</v>
      </c>
      <c r="N32" s="3" t="s">
        <v>4</v>
      </c>
      <c r="O32" s="23" t="n">
        <v>2573</v>
      </c>
      <c r="P32" s="0" t="s">
        <v>26</v>
      </c>
      <c r="R32" s="10" t="e">
        <f aca="false">(O32-L32)/G32</f>
        <v>#DIV/0!</v>
      </c>
    </row>
    <row r="33" customFormat="false" ht="16.4" hidden="false" customHeight="false" outlineLevel="0" collapsed="false">
      <c r="A33" s="1" t="n">
        <v>6195</v>
      </c>
      <c r="B33" s="0" t="s">
        <v>374</v>
      </c>
      <c r="C33" s="0" t="s">
        <v>67</v>
      </c>
      <c r="D33" s="1"/>
      <c r="E33" s="0" t="s">
        <v>46</v>
      </c>
      <c r="F33" s="1" t="n">
        <v>1.81</v>
      </c>
      <c r="G33" s="1" t="n">
        <v>0</v>
      </c>
      <c r="H33" s="1" t="n">
        <f aca="false">-((G33*100/F33)-100)</f>
        <v>100</v>
      </c>
      <c r="J33" s="1" t="n">
        <f aca="false">(F33-G33)*I33</f>
        <v>0</v>
      </c>
      <c r="K33" s="0" t="n">
        <f aca="false">G33*I33</f>
        <v>0</v>
      </c>
      <c r="M33" s="23" t="n">
        <v>1628</v>
      </c>
      <c r="N33" s="3" t="s">
        <v>4</v>
      </c>
      <c r="O33" s="23" t="n">
        <v>1628</v>
      </c>
      <c r="P33" s="0" t="s">
        <v>26</v>
      </c>
      <c r="R33" s="10" t="e">
        <f aca="false">(O33-L33)/G33</f>
        <v>#DIV/0!</v>
      </c>
    </row>
    <row r="34" customFormat="false" ht="15" hidden="false" customHeight="false" outlineLevel="0" collapsed="false">
      <c r="A34" s="1" t="n">
        <v>6195</v>
      </c>
      <c r="B34" s="0" t="s">
        <v>374</v>
      </c>
      <c r="C34" s="0" t="s">
        <v>27</v>
      </c>
      <c r="D34" s="1"/>
      <c r="E34" s="0" t="s">
        <v>46</v>
      </c>
      <c r="F34" s="1" t="n">
        <v>0.97</v>
      </c>
      <c r="G34" s="1" t="n">
        <v>0</v>
      </c>
      <c r="H34" s="1" t="n">
        <f aca="false">-((G34*100/F34)-100)</f>
        <v>100</v>
      </c>
      <c r="J34" s="1" t="n">
        <f aca="false">(F34-G34)*I34</f>
        <v>0</v>
      </c>
      <c r="K34" s="0" t="n">
        <f aca="false">G34*I34</f>
        <v>0</v>
      </c>
      <c r="M34" s="23" t="n">
        <v>873</v>
      </c>
      <c r="N34" s="1" t="s">
        <v>4</v>
      </c>
      <c r="O34" s="23" t="n">
        <v>873</v>
      </c>
      <c r="P34" s="0" t="s">
        <v>26</v>
      </c>
    </row>
    <row r="35" customFormat="false" ht="16.4" hidden="false" customHeight="false" outlineLevel="0" collapsed="false">
      <c r="A35" s="1" t="n">
        <v>6195</v>
      </c>
      <c r="B35" s="0" t="s">
        <v>374</v>
      </c>
      <c r="C35" s="0" t="s">
        <v>51</v>
      </c>
      <c r="D35" s="1" t="s">
        <v>53</v>
      </c>
      <c r="E35" s="0" t="s">
        <v>68</v>
      </c>
      <c r="F35" s="1" t="n">
        <v>0.96</v>
      </c>
      <c r="G35" s="1" t="n">
        <v>0.96</v>
      </c>
      <c r="H35" s="1" t="n">
        <f aca="false">-((G35*100/F35)-100)</f>
        <v>-0</v>
      </c>
      <c r="I35" s="33" t="n">
        <v>582</v>
      </c>
      <c r="J35" s="1" t="n">
        <f aca="false">(F35-G35)*I35</f>
        <v>0</v>
      </c>
      <c r="K35" s="0" t="n">
        <f aca="false">G35*I35</f>
        <v>558.72</v>
      </c>
      <c r="M35" s="23" t="n">
        <v>1464</v>
      </c>
      <c r="N35" s="3" t="s">
        <v>4</v>
      </c>
      <c r="O35" s="23" t="n">
        <v>1464</v>
      </c>
      <c r="P35" s="1" t="s">
        <v>26</v>
      </c>
      <c r="R35" s="10" t="n">
        <f aca="false">(O35-L35)/G35</f>
        <v>1525</v>
      </c>
    </row>
    <row r="36" customFormat="false" ht="15" hidden="false" customHeight="false" outlineLevel="0" collapsed="false">
      <c r="A36" s="1"/>
      <c r="D36" s="1"/>
      <c r="F36" s="1"/>
      <c r="G36" s="1"/>
      <c r="H36" s="1"/>
      <c r="I36" s="1"/>
      <c r="J36" s="1" t="n">
        <f aca="false">(F36-G36)*I36</f>
        <v>0</v>
      </c>
      <c r="K36" s="0" t="n">
        <f aca="false">G36*I36</f>
        <v>0</v>
      </c>
      <c r="M36" s="23"/>
      <c r="N36" s="3"/>
      <c r="O36" s="23"/>
      <c r="R36" s="10" t="e">
        <f aca="false">(O36-L36)/G36</f>
        <v>#DIV/0!</v>
      </c>
    </row>
    <row r="37" customFormat="false" ht="15" hidden="false" customHeight="false" outlineLevel="0" collapsed="false">
      <c r="G37" s="1"/>
      <c r="J37" s="1" t="n">
        <f aca="false">(F37-G37)*I37</f>
        <v>0</v>
      </c>
      <c r="K37" s="0" t="n">
        <f aca="false">G37*I37</f>
        <v>0</v>
      </c>
      <c r="R37" s="10" t="e">
        <f aca="false">(O37-L37)/G37</f>
        <v>#DIV/0!</v>
      </c>
    </row>
    <row r="38" customFormat="false" ht="15" hidden="false" customHeight="false" outlineLevel="0" collapsed="false">
      <c r="G38" s="1"/>
      <c r="J38" s="1" t="n">
        <f aca="false">(F38-G38)*I38</f>
        <v>0</v>
      </c>
      <c r="K38" s="0" t="n">
        <f aca="false">G38*I38</f>
        <v>0</v>
      </c>
      <c r="R38" s="10" t="e">
        <f aca="false">(O38-L38)/G38</f>
        <v>#DIV/0!</v>
      </c>
    </row>
    <row r="39" customFormat="false" ht="15" hidden="false" customHeight="false" outlineLevel="0" collapsed="false">
      <c r="G39" s="1"/>
      <c r="J39" s="1" t="n">
        <f aca="false">(F39-G39)*I39</f>
        <v>0</v>
      </c>
      <c r="K39" s="0" t="n">
        <f aca="false">G39*I39</f>
        <v>0</v>
      </c>
    </row>
    <row r="40" customFormat="false" ht="15" hidden="false" customHeight="false" outlineLevel="0" collapsed="false">
      <c r="G40" s="1"/>
      <c r="J40" s="1" t="n">
        <f aca="false">(F40-G40)*I40</f>
        <v>0</v>
      </c>
      <c r="K40" s="0" t="n">
        <f aca="false">G40*I40</f>
        <v>0</v>
      </c>
      <c r="R40" s="10" t="e">
        <f aca="false">(O40-L40)/G40</f>
        <v>#DIV/0!</v>
      </c>
    </row>
    <row r="41" customFormat="false" ht="15" hidden="false" customHeight="false" outlineLevel="0" collapsed="false">
      <c r="G41" s="1"/>
      <c r="J41" s="1" t="n">
        <f aca="false">(F41-G41)*I41</f>
        <v>0</v>
      </c>
      <c r="K41" s="0" t="n">
        <f aca="false">G41*I41</f>
        <v>0</v>
      </c>
      <c r="R41" s="10" t="e">
        <f aca="false">(O41-L41)/G41</f>
        <v>#DIV/0!</v>
      </c>
    </row>
    <row r="42" customFormat="false" ht="15" hidden="false" customHeight="false" outlineLevel="0" collapsed="false">
      <c r="G42" s="1"/>
      <c r="J42" s="1" t="n">
        <f aca="false">(F42-G42)*I42</f>
        <v>0</v>
      </c>
      <c r="K42" s="0" t="n">
        <f aca="false">G42*I42</f>
        <v>0</v>
      </c>
      <c r="R42" s="10"/>
    </row>
    <row r="43" customFormat="false" ht="15" hidden="false" customHeight="false" outlineLevel="0" collapsed="false">
      <c r="J43" s="1" t="n">
        <f aca="false">(F43-G43)*I43</f>
        <v>0</v>
      </c>
      <c r="K43" s="0" t="n">
        <f aca="false">G43*I43</f>
        <v>0</v>
      </c>
      <c r="R43" s="10" t="e">
        <f aca="false">(O43-L43)/G43</f>
        <v>#DIV/0!</v>
      </c>
    </row>
    <row r="44" customFormat="false" ht="15" hidden="false" customHeight="false" outlineLevel="0" collapsed="false">
      <c r="J44" s="1" t="n">
        <f aca="false">(F44-G44)*I44</f>
        <v>0</v>
      </c>
      <c r="K44" s="0" t="n">
        <f aca="false">G44*I44</f>
        <v>0</v>
      </c>
      <c r="R44" s="10"/>
    </row>
    <row r="45" customFormat="false" ht="15" hidden="false" customHeight="false" outlineLevel="0" collapsed="false">
      <c r="A45" s="1"/>
      <c r="D45" s="1"/>
      <c r="F45" s="1"/>
      <c r="H45" s="1"/>
      <c r="J45" s="1" t="n">
        <f aca="false">(F45-G45)*I45</f>
        <v>0</v>
      </c>
      <c r="K45" s="0" t="n">
        <f aca="false">G45*I45</f>
        <v>0</v>
      </c>
      <c r="M45" s="23"/>
      <c r="N45" s="26"/>
      <c r="O45" s="23"/>
      <c r="R45" s="10" t="e">
        <f aca="false">(O45-L45)/G45</f>
        <v>#DIV/0!</v>
      </c>
    </row>
    <row r="46" customFormat="false" ht="15" hidden="false" customHeight="false" outlineLevel="0" collapsed="false">
      <c r="A46" s="1"/>
      <c r="D46" s="1"/>
      <c r="F46" s="1"/>
      <c r="H46" s="1"/>
      <c r="J46" s="1" t="n">
        <f aca="false">(F46-G46)*I46</f>
        <v>0</v>
      </c>
      <c r="K46" s="0" t="n">
        <f aca="false">G46*I46</f>
        <v>0</v>
      </c>
      <c r="M46" s="23"/>
      <c r="N46" s="26"/>
      <c r="O46" s="23"/>
      <c r="R46" s="10" t="e">
        <f aca="false">(O46-L46)/G46</f>
        <v>#DIV/0!</v>
      </c>
    </row>
    <row r="47" customFormat="false" ht="15" hidden="false" customHeight="false" outlineLevel="0" collapsed="false">
      <c r="J47" s="1" t="n">
        <f aca="false">(F47-G47)*I47</f>
        <v>0</v>
      </c>
      <c r="K47" s="0" t="n">
        <f aca="false">G47*I47</f>
        <v>0</v>
      </c>
    </row>
    <row r="48" customFormat="false" ht="15" hidden="false" customHeight="false" outlineLevel="0" collapsed="false">
      <c r="J48" s="1" t="n">
        <f aca="false">(F48-G48)*I48</f>
        <v>0</v>
      </c>
      <c r="K48" s="0" t="n">
        <f aca="false">G48*I48</f>
        <v>0</v>
      </c>
      <c r="R48" s="10" t="e">
        <f aca="false">(O48-L48)/G48</f>
        <v>#DIV/0!</v>
      </c>
    </row>
    <row r="49" customFormat="false" ht="15" hidden="false" customHeight="false" outlineLevel="0" collapsed="false">
      <c r="A49" s="1"/>
      <c r="D49" s="1"/>
      <c r="F49" s="1"/>
      <c r="G49" s="1"/>
      <c r="H49" s="1"/>
      <c r="I49" s="1"/>
      <c r="J49" s="1" t="n">
        <f aca="false">(F49-G49)*I49</f>
        <v>0</v>
      </c>
      <c r="K49" s="0" t="n">
        <f aca="false">G49*I49</f>
        <v>0</v>
      </c>
      <c r="M49" s="23"/>
      <c r="N49" s="12"/>
      <c r="O49" s="23"/>
      <c r="R49" s="10" t="e">
        <f aca="false">(O49-L49)/G49</f>
        <v>#DIV/0!</v>
      </c>
    </row>
    <row r="50" customFormat="false" ht="15" hidden="false" customHeight="false" outlineLevel="0" collapsed="false">
      <c r="A50" s="1"/>
      <c r="D50" s="1"/>
      <c r="F50" s="1"/>
      <c r="G50" s="1"/>
      <c r="H50" s="1"/>
      <c r="I50" s="1"/>
      <c r="J50" s="1" t="n">
        <f aca="false">(F50-G50)*I50</f>
        <v>0</v>
      </c>
      <c r="K50" s="0" t="n">
        <f aca="false">G50*I50</f>
        <v>0</v>
      </c>
      <c r="M50" s="23"/>
      <c r="N50" s="12"/>
      <c r="O50" s="23"/>
      <c r="R50" s="10" t="e">
        <f aca="false">(O50-L50)/G50</f>
        <v>#DIV/0!</v>
      </c>
    </row>
    <row r="51" customFormat="false" ht="16.4" hidden="false" customHeight="false" outlineLevel="0" collapsed="false">
      <c r="A51" s="1" t="n">
        <v>6142</v>
      </c>
      <c r="B51" s="0" t="s">
        <v>159</v>
      </c>
      <c r="C51" s="0" t="s">
        <v>375</v>
      </c>
      <c r="D51" s="1"/>
      <c r="F51" s="1"/>
      <c r="G51" s="1"/>
      <c r="H51" s="1" t="e">
        <f aca="false">-((G51*100/F51)-100)</f>
        <v>#DIV/0!</v>
      </c>
      <c r="I51" s="33"/>
      <c r="J51" s="1" t="n">
        <f aca="false">(F51-G51)*I51</f>
        <v>0</v>
      </c>
      <c r="K51" s="0" t="n">
        <f aca="false">G51*I51</f>
        <v>0</v>
      </c>
      <c r="M51" s="23" t="n">
        <v>1530</v>
      </c>
      <c r="N51" s="3" t="s">
        <v>4</v>
      </c>
      <c r="O51" s="23" t="n">
        <v>1530</v>
      </c>
      <c r="R51" s="10" t="e">
        <f aca="false">(O51-L51)/G51</f>
        <v>#DIV/0!</v>
      </c>
    </row>
    <row r="52" customFormat="false" ht="15" hidden="false" customHeight="false" outlineLevel="0" collapsed="false">
      <c r="J52" s="1" t="n">
        <f aca="false">(F52-G52)*I52</f>
        <v>0</v>
      </c>
      <c r="K52" s="0" t="n">
        <f aca="false">G52*I52</f>
        <v>0</v>
      </c>
    </row>
    <row r="53" customFormat="false" ht="15" hidden="false" customHeight="false" outlineLevel="0" collapsed="false">
      <c r="J53" s="1" t="n">
        <f aca="false">(F53-G53)*I53</f>
        <v>0</v>
      </c>
      <c r="K53" s="0" t="n">
        <f aca="false">G53*I53</f>
        <v>0</v>
      </c>
      <c r="R53" s="10" t="e">
        <f aca="false">(O53-L53)/G53</f>
        <v>#DIV/0!</v>
      </c>
    </row>
    <row r="54" customFormat="false" ht="15" hidden="false" customHeight="false" outlineLevel="0" collapsed="false">
      <c r="A54" s="1"/>
      <c r="D54" s="1"/>
      <c r="F54" s="1"/>
      <c r="G54" s="1"/>
      <c r="H54" s="1"/>
      <c r="I54" s="1"/>
      <c r="J54" s="1" t="n">
        <f aca="false">(F54-G54)*I54</f>
        <v>0</v>
      </c>
      <c r="M54" s="23"/>
      <c r="N54" s="3"/>
      <c r="O54" s="23"/>
      <c r="R54" s="10"/>
    </row>
    <row r="55" customFormat="false" ht="15" hidden="false" customHeight="false" outlineLevel="0" collapsed="false">
      <c r="A55" s="1"/>
      <c r="D55" s="1"/>
      <c r="F55" s="1" t="n">
        <v>141.99</v>
      </c>
      <c r="G55" s="1" t="n">
        <v>134.81</v>
      </c>
      <c r="H55" s="1"/>
      <c r="I55" s="1"/>
      <c r="J55" s="1" t="n">
        <v>998.56</v>
      </c>
      <c r="K55" s="1" t="n">
        <v>81420.71</v>
      </c>
      <c r="M55" s="23" t="n">
        <f aca="false">SUM(M4:M53)</f>
        <v>226072</v>
      </c>
      <c r="N55" s="12"/>
      <c r="O55" s="23"/>
      <c r="R55" s="10"/>
    </row>
    <row r="56" customFormat="false" ht="15" hidden="false" customHeight="false" outlineLevel="0" collapsed="false">
      <c r="A56" s="1"/>
      <c r="D56" s="1"/>
      <c r="F56" s="1"/>
      <c r="G56" s="1"/>
      <c r="H56" s="1"/>
      <c r="I56" s="1"/>
      <c r="J56" s="1"/>
      <c r="M56" s="23"/>
      <c r="N56" s="12"/>
      <c r="O56" s="23"/>
      <c r="R56" s="10"/>
    </row>
    <row r="57" customFormat="false" ht="15" hidden="false" customHeight="false" outlineLevel="0" collapsed="false">
      <c r="A57" s="1"/>
      <c r="D57" s="1"/>
      <c r="F57" s="1"/>
      <c r="G57" s="1"/>
      <c r="H57" s="1"/>
      <c r="I57" s="1"/>
      <c r="J57" s="1"/>
      <c r="M57" s="23"/>
      <c r="N57" s="12"/>
      <c r="O57" s="23"/>
      <c r="R57" s="10"/>
    </row>
    <row r="58" customFormat="false" ht="15" hidden="false" customHeight="false" outlineLevel="0" collapsed="false">
      <c r="A58" s="1"/>
      <c r="D58" s="1"/>
      <c r="F58" s="1"/>
      <c r="G58" s="1"/>
      <c r="H58" s="1"/>
      <c r="I58" s="1"/>
      <c r="J58" s="1"/>
      <c r="M58" s="23"/>
      <c r="N58" s="12"/>
      <c r="O58" s="23"/>
      <c r="R58" s="10"/>
    </row>
    <row r="59" customFormat="false" ht="15" hidden="false" customHeight="false" outlineLevel="0" collapsed="false">
      <c r="A59" s="1"/>
      <c r="D59" s="1"/>
      <c r="F59" s="1"/>
      <c r="G59" s="1"/>
      <c r="H59" s="1"/>
      <c r="I59" s="1"/>
      <c r="J59" s="1"/>
      <c r="M59" s="23"/>
      <c r="N59" s="12"/>
      <c r="O59" s="23"/>
      <c r="R59" s="10"/>
    </row>
    <row r="60" customFormat="false" ht="15" hidden="false" customHeight="false" outlineLevel="0" collapsed="false">
      <c r="A60" s="1"/>
      <c r="D60" s="1"/>
      <c r="F60" s="1"/>
      <c r="G60" s="1"/>
      <c r="H60" s="1"/>
      <c r="I60" s="1"/>
      <c r="J60" s="1"/>
      <c r="M60" s="23"/>
      <c r="N60" s="12"/>
      <c r="O60" s="23"/>
      <c r="R60" s="10"/>
    </row>
    <row r="61" s="51" customFormat="true" ht="15" hidden="false" customHeight="false" outlineLevel="0" collapsed="false">
      <c r="A61" s="50"/>
      <c r="D61" s="50"/>
      <c r="F61" s="50"/>
      <c r="G61" s="50"/>
      <c r="H61" s="50"/>
      <c r="I61" s="50"/>
      <c r="J61" s="50"/>
      <c r="M61" s="52"/>
      <c r="N61" s="62"/>
      <c r="O61" s="52"/>
      <c r="R61" s="53"/>
    </row>
    <row r="62" customFormat="false" ht="15" hidden="false" customHeight="false" outlineLevel="0" collapsed="false">
      <c r="A62" s="1"/>
      <c r="D62" s="1"/>
      <c r="F62" s="1"/>
      <c r="G62" s="1"/>
      <c r="H62" s="1"/>
      <c r="I62" s="1"/>
      <c r="J62" s="1"/>
      <c r="M62" s="23"/>
      <c r="N62" s="12"/>
      <c r="O62" s="23"/>
      <c r="R62" s="10"/>
    </row>
    <row r="63" customFormat="false" ht="15" hidden="false" customHeight="false" outlineLevel="0" collapsed="false">
      <c r="A63" s="1"/>
      <c r="D63" s="1"/>
      <c r="F63" s="1"/>
      <c r="G63" s="1"/>
      <c r="H63" s="1"/>
      <c r="I63" s="1"/>
      <c r="J63" s="1"/>
      <c r="M63" s="23"/>
      <c r="N63" s="12"/>
      <c r="O63" s="23"/>
      <c r="R63" s="10"/>
    </row>
    <row r="64" customFormat="false" ht="15" hidden="false" customHeight="false" outlineLevel="0" collapsed="false">
      <c r="A64" s="1"/>
      <c r="D64" s="1"/>
      <c r="F64" s="1"/>
      <c r="G64" s="1"/>
      <c r="H64" s="1"/>
      <c r="I64" s="1"/>
      <c r="J64" s="1"/>
      <c r="M64" s="23"/>
      <c r="N64" s="12"/>
      <c r="O64" s="23"/>
      <c r="R64" s="10"/>
    </row>
    <row r="65" customFormat="false" ht="15" hidden="false" customHeight="false" outlineLevel="0" collapsed="false">
      <c r="A65" s="1"/>
      <c r="D65" s="1"/>
      <c r="F65" s="1"/>
      <c r="G65" s="1"/>
      <c r="H65" s="1"/>
      <c r="I65" s="1"/>
      <c r="J65" s="1"/>
      <c r="M65" s="23"/>
      <c r="N65" s="12"/>
      <c r="O65" s="23"/>
      <c r="R65" s="10"/>
    </row>
    <row r="66" customFormat="false" ht="15" hidden="false" customHeight="false" outlineLevel="0" collapsed="false">
      <c r="A66" s="1"/>
      <c r="D66" s="1"/>
      <c r="F66" s="1"/>
      <c r="G66" s="1"/>
      <c r="H66" s="1"/>
      <c r="J66" s="1"/>
      <c r="M66" s="23"/>
      <c r="N66" s="12"/>
      <c r="O66" s="23"/>
      <c r="R66" s="10"/>
    </row>
    <row r="67" customFormat="false" ht="15" hidden="false" customHeight="false" outlineLevel="0" collapsed="false">
      <c r="A67" s="1"/>
      <c r="D67" s="1"/>
      <c r="F67" s="1"/>
      <c r="G67" s="1"/>
      <c r="H67" s="1"/>
      <c r="I67" s="1"/>
      <c r="J67" s="1"/>
      <c r="M67" s="23"/>
      <c r="N67" s="12"/>
      <c r="O67" s="23"/>
      <c r="R67" s="10"/>
    </row>
    <row r="68" customFormat="false" ht="15" hidden="false" customHeight="false" outlineLevel="0" collapsed="false">
      <c r="A68" s="1"/>
      <c r="D68" s="1"/>
      <c r="F68" s="1"/>
      <c r="G68" s="1"/>
      <c r="H68" s="1"/>
      <c r="I68" s="1"/>
      <c r="J68" s="1"/>
      <c r="M68" s="23"/>
      <c r="N68" s="12"/>
      <c r="O68" s="23"/>
      <c r="R68" s="10"/>
    </row>
    <row r="69" customFormat="false" ht="15" hidden="false" customHeight="false" outlineLevel="0" collapsed="false">
      <c r="A69" s="1"/>
      <c r="D69" s="1"/>
      <c r="F69" s="1"/>
      <c r="G69" s="1"/>
      <c r="H69" s="1"/>
      <c r="J69" s="1"/>
      <c r="M69" s="23"/>
      <c r="N69" s="12"/>
      <c r="O69" s="23"/>
      <c r="R69" s="10"/>
    </row>
    <row r="71" customFormat="false" ht="15" hidden="false" customHeight="false" outlineLevel="0" collapsed="false">
      <c r="A71" s="1"/>
      <c r="D71" s="1"/>
      <c r="F71" s="1"/>
      <c r="H71" s="1"/>
      <c r="J71" s="1"/>
      <c r="M71" s="23"/>
      <c r="N71" s="12"/>
      <c r="O71" s="23"/>
      <c r="P71" s="1"/>
      <c r="R71" s="10"/>
    </row>
    <row r="72" customFormat="false" ht="15" hidden="false" customHeight="false" outlineLevel="0" collapsed="false">
      <c r="A72" s="1"/>
      <c r="D72" s="1"/>
      <c r="H72" s="1"/>
      <c r="J72" s="1"/>
      <c r="M72" s="23"/>
      <c r="N72" s="12"/>
      <c r="O72" s="23"/>
      <c r="R72" s="10"/>
    </row>
    <row r="73" customFormat="false" ht="15" hidden="false" customHeight="false" outlineLevel="0" collapsed="false">
      <c r="A73" s="1"/>
      <c r="H73" s="1"/>
      <c r="J73" s="1"/>
      <c r="M73" s="23"/>
      <c r="N73" s="12"/>
      <c r="O73" s="23"/>
      <c r="R73" s="10"/>
    </row>
    <row r="74" customFormat="false" ht="15" hidden="false" customHeight="false" outlineLevel="0" collapsed="false">
      <c r="A74" s="1"/>
      <c r="H74" s="1"/>
      <c r="J74" s="1"/>
      <c r="M74" s="23"/>
      <c r="N74" s="3"/>
      <c r="O74" s="23"/>
      <c r="R74" s="10"/>
    </row>
    <row r="75" customFormat="false" ht="15" hidden="false" customHeight="false" outlineLevel="0" collapsed="false">
      <c r="A75" s="1"/>
      <c r="D75" s="1"/>
      <c r="F75" s="1"/>
      <c r="H75" s="1"/>
      <c r="J75" s="1"/>
      <c r="M75" s="23"/>
      <c r="N75" s="3"/>
      <c r="O75" s="23"/>
      <c r="P75" s="1"/>
      <c r="R75" s="10"/>
    </row>
    <row r="76" customFormat="false" ht="15" hidden="false" customHeight="false" outlineLevel="0" collapsed="false">
      <c r="A76" s="1"/>
      <c r="D76" s="1"/>
      <c r="H76" s="1"/>
      <c r="J76" s="1"/>
      <c r="M76" s="23"/>
      <c r="N76" s="3"/>
      <c r="O76" s="23"/>
      <c r="P76" s="1"/>
      <c r="R76" s="10"/>
    </row>
    <row r="77" customFormat="false" ht="15" hidden="false" customHeight="false" outlineLevel="0" collapsed="false">
      <c r="A77" s="1"/>
      <c r="H77" s="1"/>
      <c r="J77" s="1"/>
      <c r="M77" s="23"/>
      <c r="N77" s="3"/>
      <c r="O77" s="23"/>
      <c r="R77" s="10"/>
    </row>
    <row r="78" customFormat="false" ht="15" hidden="false" customHeight="false" outlineLevel="0" collapsed="false">
      <c r="A78" s="1"/>
      <c r="D78" s="1"/>
      <c r="F78" s="1"/>
      <c r="H78" s="1"/>
      <c r="J78" s="1"/>
      <c r="M78" s="23"/>
      <c r="N78" s="3"/>
      <c r="O78" s="23"/>
      <c r="P78" s="1"/>
      <c r="R78" s="10"/>
    </row>
    <row r="79" customFormat="false" ht="15" hidden="false" customHeight="false" outlineLevel="0" collapsed="false">
      <c r="A79" s="1"/>
      <c r="H79" s="1"/>
      <c r="J79" s="1"/>
      <c r="M79" s="23"/>
      <c r="N79" s="3"/>
      <c r="O79" s="23"/>
      <c r="R79" s="10"/>
    </row>
    <row r="80" customFormat="false" ht="15" hidden="false" customHeight="false" outlineLevel="0" collapsed="false">
      <c r="A80" s="1"/>
      <c r="H80" s="1"/>
      <c r="J80" s="1"/>
      <c r="M80" s="23"/>
      <c r="N80" s="3"/>
      <c r="O80" s="23"/>
      <c r="R80" s="10"/>
    </row>
    <row r="81" customFormat="false" ht="15" hidden="false" customHeight="false" outlineLevel="0" collapsed="false">
      <c r="A81" s="1"/>
      <c r="H81" s="1"/>
      <c r="J81" s="1"/>
      <c r="M81" s="23"/>
      <c r="N81" s="3"/>
      <c r="O81" s="23"/>
      <c r="R81" s="10"/>
    </row>
    <row r="82" customFormat="false" ht="15" hidden="false" customHeight="false" outlineLevel="0" collapsed="false">
      <c r="A82" s="1"/>
      <c r="H82" s="1"/>
      <c r="J82" s="1"/>
      <c r="M82" s="23"/>
      <c r="N82" s="3"/>
      <c r="O82" s="23"/>
      <c r="R82" s="10"/>
    </row>
    <row r="83" customFormat="false" ht="15" hidden="false" customHeight="false" outlineLevel="0" collapsed="false">
      <c r="A83" s="1"/>
      <c r="H83" s="1"/>
      <c r="J83" s="1"/>
      <c r="M83" s="23"/>
      <c r="N83" s="3"/>
      <c r="O83" s="23"/>
      <c r="R83" s="10"/>
    </row>
    <row r="84" customFormat="false" ht="15" hidden="false" customHeight="false" outlineLevel="0" collapsed="false">
      <c r="A84" s="1"/>
      <c r="H84" s="1"/>
      <c r="J84" s="1"/>
      <c r="M84" s="23"/>
      <c r="N84" s="3"/>
      <c r="O84" s="23"/>
      <c r="R84" s="10"/>
    </row>
    <row r="85" customFormat="false" ht="15" hidden="false" customHeight="false" outlineLevel="0" collapsed="false">
      <c r="A85" s="1"/>
      <c r="H85" s="1"/>
      <c r="J85" s="1"/>
      <c r="M85" s="23"/>
      <c r="N85" s="3"/>
      <c r="O85" s="23"/>
      <c r="R85" s="10"/>
    </row>
    <row r="86" customFormat="false" ht="15" hidden="false" customHeight="false" outlineLevel="0" collapsed="false">
      <c r="A86" s="1"/>
      <c r="H86" s="1"/>
      <c r="J86" s="1"/>
      <c r="M86" s="23"/>
      <c r="N86" s="3"/>
      <c r="O86" s="23"/>
      <c r="R86" s="10"/>
    </row>
    <row r="87" customFormat="false" ht="15" hidden="false" customHeight="false" outlineLevel="0" collapsed="false">
      <c r="A87" s="1"/>
      <c r="D87" s="1"/>
      <c r="F87" s="1"/>
      <c r="G87" s="1"/>
      <c r="H87" s="1"/>
      <c r="I87" s="1"/>
      <c r="J87" s="1"/>
      <c r="M87" s="23"/>
      <c r="N87" s="1"/>
      <c r="O87" s="23"/>
      <c r="R87" s="10"/>
    </row>
    <row r="89" customFormat="false" ht="15" hidden="false" customHeight="false" outlineLevel="0" collapsed="false">
      <c r="A89" s="1"/>
      <c r="D89" s="1"/>
      <c r="F89" s="1"/>
      <c r="H89" s="1"/>
      <c r="I89" s="1"/>
      <c r="J89" s="1"/>
      <c r="M89" s="23"/>
      <c r="N89" s="3"/>
      <c r="O89" s="23"/>
      <c r="R89" s="10"/>
    </row>
    <row r="90" customFormat="false" ht="15" hidden="false" customHeight="false" outlineLevel="0" collapsed="false">
      <c r="A90" s="1"/>
      <c r="D90" s="1"/>
      <c r="F90" s="1"/>
      <c r="H90" s="1"/>
      <c r="I90" s="1"/>
      <c r="J90" s="1"/>
      <c r="M90" s="23"/>
      <c r="N90" s="3"/>
      <c r="O90" s="23"/>
      <c r="R90" s="10"/>
    </row>
    <row r="92" customFormat="false" ht="15" hidden="false" customHeight="false" outlineLevel="0" collapsed="false">
      <c r="A92" s="1"/>
      <c r="D92" s="1"/>
      <c r="H92" s="1"/>
      <c r="J92" s="1"/>
      <c r="M92" s="23"/>
      <c r="N92" s="3"/>
      <c r="O92" s="23"/>
      <c r="R92" s="10"/>
    </row>
    <row r="93" customFormat="false" ht="15" hidden="false" customHeight="false" outlineLevel="0" collapsed="false">
      <c r="A93" s="1"/>
      <c r="H93" s="1"/>
      <c r="J93" s="1"/>
      <c r="M93" s="23"/>
      <c r="N93" s="3"/>
      <c r="O93" s="23"/>
      <c r="R93" s="10"/>
    </row>
    <row r="98" customFormat="false" ht="15" hidden="false" customHeight="false" outlineLevel="0" collapsed="false">
      <c r="A98" s="1"/>
      <c r="D98" s="1"/>
      <c r="F98" s="1"/>
      <c r="H98" s="1"/>
      <c r="J98" s="1"/>
      <c r="M98" s="23"/>
      <c r="N98" s="3"/>
      <c r="O98" s="23"/>
      <c r="P98" s="1"/>
      <c r="R98" s="10"/>
    </row>
    <row r="100" customFormat="false" ht="15" hidden="false" customHeight="false" outlineLevel="0" collapsed="false">
      <c r="P100" s="1"/>
    </row>
    <row r="102" customFormat="false" ht="15" hidden="false" customHeight="false" outlineLevel="0" collapsed="false">
      <c r="P102" s="1"/>
    </row>
    <row r="115" customFormat="false" ht="15" hidden="false" customHeight="false" outlineLevel="0" collapsed="false">
      <c r="A115" s="1"/>
      <c r="D115" s="1"/>
      <c r="F115" s="1"/>
      <c r="H115" s="1"/>
      <c r="I115" s="1"/>
      <c r="J115" s="1"/>
      <c r="M115" s="23"/>
      <c r="N115" s="3"/>
      <c r="O115" s="23"/>
      <c r="P115" s="1"/>
      <c r="R115" s="10"/>
    </row>
    <row r="116" customFormat="false" ht="15" hidden="false" customHeight="false" outlineLevel="0" collapsed="false">
      <c r="A116" s="1"/>
      <c r="D116" s="1"/>
      <c r="F116" s="1"/>
      <c r="H116" s="1"/>
      <c r="I116" s="1"/>
      <c r="J116" s="1"/>
      <c r="M116" s="23"/>
      <c r="N116" s="3"/>
      <c r="O116" s="23"/>
      <c r="P116" s="1"/>
      <c r="R116" s="10"/>
    </row>
    <row r="118" customFormat="false" ht="15" hidden="false" customHeight="false" outlineLevel="0" collapsed="false">
      <c r="A118" s="1"/>
      <c r="D118" s="1"/>
      <c r="F118" s="1"/>
      <c r="H118" s="1"/>
      <c r="J118" s="1"/>
      <c r="M118" s="23"/>
      <c r="N118" s="3"/>
      <c r="O118" s="23"/>
      <c r="P118" s="1"/>
      <c r="R118" s="10"/>
    </row>
    <row r="120" customFormat="false" ht="15" hidden="false" customHeight="false" outlineLevel="0" collapsed="false">
      <c r="A120" s="1"/>
      <c r="D120" s="1"/>
      <c r="F120" s="1"/>
      <c r="G120" s="1"/>
      <c r="H120" s="1"/>
      <c r="J120" s="1"/>
      <c r="M120" s="23"/>
      <c r="N120" s="3"/>
      <c r="O120" s="23"/>
      <c r="R120" s="10"/>
    </row>
    <row r="121" customFormat="false" ht="15" hidden="false" customHeight="false" outlineLevel="0" collapsed="false">
      <c r="J121" s="1"/>
    </row>
    <row r="122" customFormat="false" ht="15" hidden="false" customHeight="false" outlineLevel="0" collapsed="false">
      <c r="A122" s="1"/>
      <c r="D122" s="1"/>
      <c r="F122" s="1"/>
      <c r="G122" s="1"/>
      <c r="H122" s="1"/>
      <c r="I122" s="1"/>
      <c r="J122" s="1"/>
      <c r="L122" s="10"/>
      <c r="M122" s="32"/>
      <c r="N122" s="1"/>
      <c r="O122" s="35"/>
      <c r="R122" s="10"/>
    </row>
    <row r="123" customFormat="false" ht="15" hidden="false" customHeight="false" outlineLevel="0" collapsed="false">
      <c r="A123" s="1"/>
      <c r="D123" s="1"/>
      <c r="F123" s="1"/>
      <c r="G123" s="1"/>
      <c r="H123" s="1"/>
      <c r="I123" s="1"/>
      <c r="J123" s="1"/>
      <c r="L123" s="32"/>
      <c r="M123" s="32"/>
      <c r="N123" s="1"/>
      <c r="O123" s="35"/>
      <c r="R123" s="10"/>
    </row>
    <row r="124" customFormat="false" ht="15" hidden="false" customHeight="false" outlineLevel="0" collapsed="false">
      <c r="A124" s="1"/>
      <c r="D124" s="1"/>
      <c r="H124" s="1"/>
      <c r="J124" s="1"/>
      <c r="M124" s="23"/>
      <c r="N124" s="1"/>
      <c r="O124" s="23"/>
      <c r="R124" s="10"/>
    </row>
    <row r="125" customFormat="false" ht="15" hidden="false" customHeight="false" outlineLevel="0" collapsed="false">
      <c r="A125" s="1"/>
      <c r="D125" s="1"/>
      <c r="F125" s="1"/>
      <c r="H125" s="1"/>
      <c r="I125" s="1"/>
      <c r="J125" s="1"/>
      <c r="M125" s="23"/>
      <c r="N125" s="1"/>
      <c r="O125" s="23"/>
      <c r="P125" s="1"/>
      <c r="R125" s="10"/>
    </row>
    <row r="126" customFormat="false" ht="15" hidden="false" customHeight="false" outlineLevel="0" collapsed="false">
      <c r="A126" s="1"/>
      <c r="D126" s="1"/>
      <c r="F126" s="1"/>
      <c r="H126" s="1"/>
      <c r="J126" s="1"/>
      <c r="M126" s="23"/>
      <c r="N126" s="1"/>
      <c r="O126" s="23"/>
      <c r="P126" s="1"/>
      <c r="R126" s="10"/>
    </row>
    <row r="127" customFormat="false" ht="15" hidden="false" customHeight="false" outlineLevel="0" collapsed="false">
      <c r="A127" s="1"/>
      <c r="D127" s="1"/>
      <c r="F127" s="1"/>
      <c r="H127" s="1"/>
      <c r="J127" s="1"/>
      <c r="M127" s="23"/>
      <c r="N127" s="1"/>
      <c r="O127" s="23"/>
      <c r="P127" s="1"/>
      <c r="R127" s="10"/>
    </row>
    <row r="128" customFormat="false" ht="15" hidden="false" customHeight="false" outlineLevel="0" collapsed="false">
      <c r="A128" s="1"/>
      <c r="D128" s="1"/>
      <c r="F128" s="1"/>
      <c r="H128" s="1"/>
      <c r="J128" s="1"/>
      <c r="M128" s="23"/>
      <c r="N128" s="1"/>
      <c r="O128" s="23"/>
      <c r="P128" s="1"/>
      <c r="R128" s="10"/>
    </row>
    <row r="129" customFormat="false" ht="15" hidden="false" customHeight="false" outlineLevel="0" collapsed="false">
      <c r="A129" s="1"/>
      <c r="D129" s="1"/>
      <c r="F129" s="1"/>
      <c r="H129" s="1"/>
      <c r="J129" s="1"/>
      <c r="M129" s="23"/>
      <c r="N129" s="1"/>
      <c r="O129" s="23"/>
      <c r="P129" s="1"/>
      <c r="R129" s="10"/>
    </row>
    <row r="130" customFormat="false" ht="15" hidden="false" customHeight="false" outlineLevel="0" collapsed="false">
      <c r="A130" s="1"/>
      <c r="D130" s="1"/>
      <c r="F130" s="1"/>
      <c r="H130" s="1"/>
      <c r="J130" s="1"/>
      <c r="M130" s="23"/>
      <c r="N130" s="1"/>
      <c r="O130" s="23"/>
      <c r="R130" s="10"/>
    </row>
    <row r="131" customFormat="false" ht="15" hidden="false" customHeight="false" outlineLevel="0" collapsed="false">
      <c r="A131" s="1"/>
      <c r="D131" s="1"/>
      <c r="F131" s="1"/>
      <c r="H131" s="1"/>
      <c r="J131" s="1"/>
      <c r="M131" s="23"/>
      <c r="N131" s="1"/>
      <c r="O131" s="23"/>
      <c r="P131" s="1"/>
      <c r="R131" s="10"/>
    </row>
    <row r="132" customFormat="false" ht="15" hidden="false" customHeight="false" outlineLevel="0" collapsed="false">
      <c r="A132" s="1"/>
      <c r="D132" s="1"/>
      <c r="F132" s="1"/>
      <c r="H132" s="1"/>
      <c r="J132" s="1"/>
      <c r="M132" s="23"/>
      <c r="N132" s="1"/>
      <c r="O132" s="23"/>
      <c r="P132" s="1"/>
      <c r="R132" s="10"/>
    </row>
    <row r="133" customFormat="false" ht="15" hidden="false" customHeight="false" outlineLevel="0" collapsed="false">
      <c r="A133" s="1"/>
      <c r="D133" s="1"/>
      <c r="F133" s="1"/>
      <c r="H133" s="1"/>
      <c r="J133" s="1"/>
      <c r="M133" s="23"/>
      <c r="N133" s="1"/>
      <c r="O133" s="23"/>
      <c r="P133" s="1"/>
      <c r="R133" s="10"/>
    </row>
    <row r="134" customFormat="false" ht="15" hidden="false" customHeight="false" outlineLevel="0" collapsed="false">
      <c r="A134" s="1"/>
      <c r="D134" s="1"/>
      <c r="F134" s="1"/>
      <c r="H134" s="1"/>
      <c r="J134" s="1"/>
      <c r="M134" s="23"/>
      <c r="N134" s="1"/>
      <c r="O134" s="23"/>
      <c r="P134" s="1"/>
      <c r="R134" s="10"/>
    </row>
    <row r="135" customFormat="false" ht="15" hidden="false" customHeight="false" outlineLevel="0" collapsed="false">
      <c r="A135" s="1"/>
      <c r="H135" s="1"/>
      <c r="J135" s="1"/>
      <c r="M135" s="23"/>
      <c r="N135" s="1"/>
      <c r="O135" s="23"/>
      <c r="P135" s="1"/>
      <c r="R135" s="10"/>
    </row>
    <row r="136" customFormat="false" ht="15" hidden="false" customHeight="false" outlineLevel="0" collapsed="false">
      <c r="A136" s="1"/>
      <c r="H136" s="1"/>
      <c r="J136" s="1"/>
      <c r="M136" s="23"/>
      <c r="N136" s="1"/>
      <c r="O136" s="23"/>
      <c r="P136" s="1"/>
      <c r="R136" s="10"/>
    </row>
    <row r="137" customFormat="false" ht="15" hidden="false" customHeight="false" outlineLevel="0" collapsed="false">
      <c r="A137" s="1"/>
      <c r="H137" s="1"/>
      <c r="J137" s="1"/>
      <c r="M137" s="23"/>
      <c r="N137" s="1"/>
      <c r="O137" s="23"/>
      <c r="P137" s="1"/>
      <c r="R137" s="10"/>
    </row>
    <row r="138" customFormat="false" ht="15" hidden="false" customHeight="false" outlineLevel="0" collapsed="false">
      <c r="A138" s="1"/>
      <c r="H138" s="1"/>
      <c r="J138" s="1"/>
      <c r="M138" s="23"/>
      <c r="N138" s="1"/>
      <c r="O138" s="23"/>
      <c r="R138" s="10"/>
    </row>
    <row r="139" customFormat="false" ht="15" hidden="false" customHeight="false" outlineLevel="0" collapsed="false">
      <c r="A139" s="1"/>
      <c r="D139" s="1"/>
      <c r="F139" s="1"/>
      <c r="H139" s="1"/>
      <c r="I139" s="1"/>
      <c r="J139" s="1"/>
      <c r="M139" s="23"/>
      <c r="N139" s="1"/>
      <c r="O139" s="23"/>
      <c r="P139" s="1"/>
      <c r="R139" s="10"/>
    </row>
    <row r="140" customFormat="false" ht="15" hidden="false" customHeight="false" outlineLevel="0" collapsed="false">
      <c r="A140" s="1"/>
      <c r="D140" s="1"/>
      <c r="F140" s="1"/>
      <c r="H140" s="1"/>
      <c r="I140" s="1"/>
      <c r="J140" s="1"/>
      <c r="M140" s="23"/>
      <c r="N140" s="1"/>
      <c r="O140" s="23"/>
      <c r="P140" s="1"/>
      <c r="R140" s="10"/>
    </row>
    <row r="141" customFormat="false" ht="15" hidden="false" customHeight="false" outlineLevel="0" collapsed="false">
      <c r="A141" s="1"/>
      <c r="D141" s="1"/>
      <c r="F141" s="1"/>
      <c r="H141" s="1"/>
      <c r="I141" s="1"/>
      <c r="J141" s="1"/>
      <c r="M141" s="23"/>
      <c r="N141" s="1"/>
      <c r="O141" s="23"/>
      <c r="P141" s="1"/>
      <c r="R141" s="10"/>
    </row>
    <row r="142" customFormat="false" ht="15" hidden="false" customHeight="false" outlineLevel="0" collapsed="false">
      <c r="A142" s="1"/>
      <c r="D142" s="1"/>
      <c r="F142" s="1"/>
      <c r="H142" s="1"/>
      <c r="J142" s="1"/>
      <c r="M142" s="23"/>
      <c r="N142" s="1"/>
      <c r="O142" s="23"/>
      <c r="P142" s="1"/>
      <c r="R142" s="10"/>
    </row>
    <row r="143" customFormat="false" ht="15" hidden="false" customHeight="false" outlineLevel="0" collapsed="false">
      <c r="A143" s="1"/>
      <c r="D143" s="1"/>
      <c r="F143" s="1"/>
      <c r="H143" s="1"/>
      <c r="I143" s="1"/>
      <c r="J143" s="1"/>
      <c r="M143" s="23"/>
      <c r="N143" s="1"/>
      <c r="O143" s="23"/>
      <c r="P143" s="1"/>
      <c r="R143" s="10"/>
    </row>
    <row r="144" customFormat="false" ht="15" hidden="false" customHeight="false" outlineLevel="0" collapsed="false">
      <c r="A144" s="1"/>
      <c r="D144" s="1"/>
      <c r="F144" s="1"/>
      <c r="H144" s="1"/>
      <c r="I144" s="1"/>
      <c r="J144" s="1"/>
      <c r="M144" s="23"/>
      <c r="N144" s="1"/>
      <c r="O144" s="23"/>
      <c r="P144" s="1"/>
      <c r="R144" s="10"/>
    </row>
    <row r="145" customFormat="false" ht="15" hidden="false" customHeight="false" outlineLevel="0" collapsed="false">
      <c r="A145" s="1"/>
      <c r="D145" s="1"/>
      <c r="F145" s="1"/>
      <c r="H145" s="1"/>
      <c r="I145" s="1"/>
      <c r="J145" s="1"/>
      <c r="M145" s="23"/>
      <c r="N145" s="1"/>
      <c r="O145" s="23"/>
      <c r="P145" s="1"/>
      <c r="R145" s="10"/>
    </row>
    <row r="146" customFormat="false" ht="15" hidden="false" customHeight="false" outlineLevel="0" collapsed="false">
      <c r="A146" s="1"/>
      <c r="D146" s="1"/>
      <c r="F146" s="1"/>
      <c r="H146" s="1"/>
      <c r="I146" s="1"/>
      <c r="J146" s="1"/>
      <c r="M146" s="23"/>
      <c r="N146" s="1"/>
      <c r="O146" s="23"/>
      <c r="P146" s="1"/>
      <c r="R146" s="10"/>
    </row>
    <row r="147" customFormat="false" ht="15" hidden="false" customHeight="false" outlineLevel="0" collapsed="false">
      <c r="A147" s="1"/>
      <c r="H147" s="1"/>
      <c r="J147" s="1"/>
      <c r="M147" s="23"/>
      <c r="N147" s="1"/>
      <c r="O147" s="23"/>
      <c r="R147" s="10"/>
    </row>
    <row r="148" customFormat="false" ht="15" hidden="false" customHeight="false" outlineLevel="0" collapsed="false">
      <c r="A148" s="1"/>
      <c r="D148" s="1"/>
      <c r="F148" s="1"/>
      <c r="H148" s="1"/>
      <c r="I148" s="1"/>
      <c r="J148" s="1"/>
      <c r="M148" s="23"/>
      <c r="N148" s="1"/>
      <c r="O148" s="23"/>
      <c r="P148" s="1"/>
      <c r="R148" s="10"/>
    </row>
    <row r="149" customFormat="false" ht="15" hidden="false" customHeight="false" outlineLevel="0" collapsed="false">
      <c r="A149" s="1"/>
      <c r="D149" s="1"/>
      <c r="F149" s="1"/>
      <c r="H149" s="1"/>
      <c r="I149" s="1"/>
      <c r="J149" s="1"/>
      <c r="M149" s="23"/>
      <c r="N149" s="1"/>
      <c r="O149" s="23"/>
      <c r="P149" s="1"/>
      <c r="R149" s="10"/>
    </row>
    <row r="150" customFormat="false" ht="15" hidden="false" customHeight="false" outlineLevel="0" collapsed="false">
      <c r="A150" s="1"/>
      <c r="D150" s="1"/>
      <c r="F150" s="1"/>
      <c r="H150" s="1"/>
      <c r="I150" s="1"/>
      <c r="J150" s="1"/>
      <c r="M150" s="23"/>
      <c r="N150" s="1"/>
      <c r="O150" s="23"/>
      <c r="P150" s="1"/>
      <c r="R150" s="10"/>
    </row>
    <row r="151" customFormat="false" ht="15" hidden="false" customHeight="false" outlineLevel="0" collapsed="false">
      <c r="A151" s="1"/>
      <c r="D151" s="1"/>
      <c r="F151" s="1"/>
      <c r="H151" s="1"/>
      <c r="I151" s="1"/>
      <c r="J151" s="1"/>
      <c r="M151" s="23"/>
      <c r="N151" s="1"/>
      <c r="O151" s="23"/>
      <c r="P151" s="1"/>
      <c r="R151" s="10"/>
    </row>
    <row r="152" customFormat="false" ht="15" hidden="false" customHeight="false" outlineLevel="0" collapsed="false">
      <c r="A152" s="1"/>
      <c r="D152" s="1"/>
      <c r="F152" s="1"/>
      <c r="H152" s="1"/>
      <c r="I152" s="1"/>
      <c r="J152" s="1"/>
      <c r="M152" s="23"/>
      <c r="N152" s="1"/>
      <c r="O152" s="23"/>
      <c r="P152" s="1"/>
      <c r="R152" s="10"/>
    </row>
    <row r="153" customFormat="false" ht="15" hidden="false" customHeight="false" outlineLevel="0" collapsed="false">
      <c r="A153" s="1"/>
      <c r="D153" s="1"/>
      <c r="F153" s="1"/>
      <c r="H153" s="1"/>
      <c r="I153" s="1"/>
      <c r="J153" s="1"/>
      <c r="M153" s="23"/>
      <c r="N153" s="1"/>
      <c r="O153" s="23"/>
      <c r="P153" s="1"/>
      <c r="R153" s="10"/>
    </row>
    <row r="154" customFormat="false" ht="15" hidden="false" customHeight="false" outlineLevel="0" collapsed="false">
      <c r="A154" s="1"/>
      <c r="D154" s="1"/>
      <c r="F154" s="1"/>
      <c r="H154" s="1"/>
      <c r="I154" s="1"/>
      <c r="J154" s="1"/>
      <c r="M154" s="23"/>
      <c r="N154" s="1"/>
      <c r="O154" s="23"/>
      <c r="P154" s="1"/>
      <c r="R154" s="10"/>
    </row>
    <row r="155" customFormat="false" ht="15" hidden="false" customHeight="false" outlineLevel="0" collapsed="false">
      <c r="A155" s="1"/>
      <c r="D155" s="1"/>
      <c r="F155" s="1"/>
      <c r="H155" s="1"/>
      <c r="J155" s="1"/>
      <c r="N155" s="1"/>
      <c r="R155" s="10"/>
    </row>
    <row r="156" customFormat="false" ht="15" hidden="false" customHeight="false" outlineLevel="0" collapsed="false">
      <c r="A156" s="1"/>
      <c r="D156" s="1"/>
      <c r="F156" s="1"/>
      <c r="H156" s="1"/>
      <c r="J156" s="1"/>
      <c r="M156" s="23"/>
      <c r="N156" s="1"/>
      <c r="O156" s="23"/>
      <c r="P156" s="1"/>
      <c r="R156" s="10"/>
    </row>
    <row r="157" customFormat="false" ht="15" hidden="false" customHeight="false" outlineLevel="0" collapsed="false">
      <c r="A157" s="1"/>
      <c r="D157" s="1"/>
      <c r="F157" s="1"/>
      <c r="H157" s="1"/>
      <c r="J157" s="1"/>
      <c r="M157" s="23"/>
      <c r="N157" s="1"/>
      <c r="O157" s="23"/>
      <c r="P157" s="1"/>
      <c r="R157" s="10"/>
    </row>
    <row r="158" customFormat="false" ht="15" hidden="false" customHeight="false" outlineLevel="0" collapsed="false">
      <c r="A158" s="1"/>
      <c r="D158" s="1"/>
      <c r="F158" s="1"/>
      <c r="H158" s="1"/>
      <c r="J158" s="1"/>
      <c r="M158" s="23"/>
      <c r="N158" s="1"/>
      <c r="O158" s="23"/>
      <c r="P158" s="1"/>
      <c r="R158" s="10"/>
    </row>
    <row r="159" customFormat="false" ht="15" hidden="false" customHeight="false" outlineLevel="0" collapsed="false">
      <c r="A159" s="1"/>
      <c r="D159" s="1"/>
      <c r="F159" s="1"/>
      <c r="H159" s="1"/>
      <c r="J159" s="1"/>
      <c r="M159" s="23"/>
      <c r="N159" s="1"/>
      <c r="O159" s="23"/>
      <c r="P159" s="1"/>
      <c r="R159" s="10"/>
    </row>
    <row r="160" customFormat="false" ht="15" hidden="false" customHeight="false" outlineLevel="0" collapsed="false">
      <c r="A160" s="1"/>
      <c r="D160" s="1"/>
      <c r="F160" s="1"/>
      <c r="H160" s="1"/>
      <c r="J160" s="1"/>
      <c r="M160" s="23"/>
      <c r="N160" s="1"/>
      <c r="O160" s="23"/>
      <c r="P160" s="1"/>
      <c r="R160" s="10"/>
    </row>
    <row r="161" customFormat="false" ht="15" hidden="false" customHeight="false" outlineLevel="0" collapsed="false">
      <c r="A161" s="1"/>
      <c r="D161" s="1"/>
      <c r="F161" s="1"/>
      <c r="H161" s="1"/>
      <c r="J161" s="1"/>
      <c r="M161" s="23"/>
      <c r="N161" s="1"/>
      <c r="O161" s="23"/>
      <c r="P161" s="1"/>
      <c r="R161" s="10"/>
    </row>
    <row r="162" customFormat="false" ht="15" hidden="false" customHeight="false" outlineLevel="0" collapsed="false">
      <c r="A162" s="1"/>
      <c r="D162" s="1"/>
      <c r="F162" s="1"/>
      <c r="H162" s="1"/>
      <c r="J162" s="1"/>
      <c r="M162" s="23"/>
      <c r="N162" s="1"/>
      <c r="O162" s="23"/>
      <c r="P162" s="1"/>
      <c r="R162" s="10"/>
    </row>
    <row r="163" customFormat="false" ht="15" hidden="false" customHeight="false" outlineLevel="0" collapsed="false">
      <c r="A163" s="1"/>
      <c r="D163" s="1"/>
      <c r="F163" s="1"/>
      <c r="H163" s="1"/>
      <c r="J163" s="1"/>
      <c r="M163" s="23"/>
      <c r="N163" s="1"/>
      <c r="O163" s="23"/>
      <c r="P163" s="1"/>
      <c r="R163" s="10"/>
    </row>
    <row r="164" customFormat="false" ht="15" hidden="false" customHeight="false" outlineLevel="0" collapsed="false">
      <c r="A164" s="1"/>
      <c r="D164" s="1"/>
      <c r="F164" s="1"/>
      <c r="H164" s="1"/>
      <c r="J164" s="1"/>
      <c r="M164" s="23"/>
      <c r="N164" s="1"/>
      <c r="O164" s="23"/>
      <c r="P164" s="1"/>
      <c r="R164" s="10"/>
    </row>
    <row r="165" customFormat="false" ht="15" hidden="false" customHeight="false" outlineLevel="0" collapsed="false">
      <c r="A165" s="1"/>
      <c r="D165" s="1"/>
      <c r="F165" s="1"/>
      <c r="H165" s="1"/>
      <c r="J165" s="1"/>
      <c r="M165" s="23"/>
      <c r="N165" s="1"/>
      <c r="O165" s="23"/>
      <c r="R165" s="10"/>
    </row>
    <row r="166" customFormat="false" ht="15" hidden="false" customHeight="false" outlineLevel="0" collapsed="false">
      <c r="A166" s="1"/>
      <c r="H166" s="1"/>
      <c r="I166" s="1"/>
      <c r="J166" s="1"/>
      <c r="M166" s="23"/>
      <c r="N166" s="1"/>
      <c r="O166" s="23"/>
      <c r="P166" s="1"/>
      <c r="R166" s="10"/>
    </row>
    <row r="167" customFormat="false" ht="15" hidden="false" customHeight="false" outlineLevel="0" collapsed="false">
      <c r="A167" s="1"/>
      <c r="H167" s="1"/>
      <c r="I167" s="1"/>
      <c r="J167" s="1"/>
      <c r="M167" s="23"/>
      <c r="N167" s="1"/>
      <c r="O167" s="23"/>
      <c r="P167" s="1"/>
      <c r="R167" s="10"/>
    </row>
    <row r="168" customFormat="false" ht="15" hidden="false" customHeight="false" outlineLevel="0" collapsed="false">
      <c r="A168" s="1"/>
      <c r="D168" s="1"/>
      <c r="H168" s="1"/>
      <c r="I168" s="1"/>
      <c r="J168" s="1"/>
      <c r="M168" s="23"/>
      <c r="N168" s="1"/>
      <c r="O168" s="23"/>
      <c r="P168" s="1"/>
      <c r="R168" s="10"/>
    </row>
    <row r="169" customFormat="false" ht="15" hidden="false" customHeight="false" outlineLevel="0" collapsed="false">
      <c r="A169" s="1"/>
      <c r="D169" s="1"/>
      <c r="H169" s="1"/>
      <c r="I169" s="1"/>
      <c r="J169" s="1"/>
      <c r="M169" s="23"/>
      <c r="N169" s="1"/>
      <c r="O169" s="23"/>
      <c r="P169" s="1"/>
      <c r="R169" s="10"/>
    </row>
    <row r="170" customFormat="false" ht="15" hidden="false" customHeight="false" outlineLevel="0" collapsed="false">
      <c r="A170" s="1"/>
      <c r="D170" s="1"/>
      <c r="H170" s="1"/>
      <c r="I170" s="1"/>
      <c r="J170" s="1"/>
      <c r="M170" s="23"/>
      <c r="N170" s="1"/>
      <c r="O170" s="23"/>
      <c r="P170" s="1"/>
      <c r="R170" s="10"/>
    </row>
    <row r="171" customFormat="false" ht="15" hidden="false" customHeight="false" outlineLevel="0" collapsed="false">
      <c r="A171" s="1"/>
      <c r="D171" s="1"/>
      <c r="H171" s="1"/>
      <c r="I171" s="1"/>
      <c r="J171" s="1"/>
      <c r="M171" s="23"/>
      <c r="N171" s="1"/>
      <c r="O171" s="23"/>
      <c r="P171" s="1"/>
      <c r="R171" s="10"/>
    </row>
    <row r="172" customFormat="false" ht="15" hidden="false" customHeight="false" outlineLevel="0" collapsed="false">
      <c r="A172" s="1"/>
      <c r="D172" s="1"/>
      <c r="H172" s="1"/>
      <c r="J172" s="1"/>
      <c r="M172" s="23"/>
      <c r="N172" s="1"/>
      <c r="O172" s="23"/>
      <c r="R172" s="10"/>
    </row>
    <row r="173" customFormat="false" ht="15" hidden="false" customHeight="false" outlineLevel="0" collapsed="false">
      <c r="A173" s="1"/>
      <c r="D173" s="1"/>
      <c r="H173" s="1"/>
      <c r="J173" s="1"/>
      <c r="M173" s="23"/>
      <c r="N173" s="1"/>
      <c r="O173" s="23"/>
      <c r="R173" s="10"/>
    </row>
    <row r="174" customFormat="false" ht="15" hidden="false" customHeight="false" outlineLevel="0" collapsed="false">
      <c r="A174" s="1"/>
      <c r="D174" s="1"/>
      <c r="H174" s="1"/>
      <c r="J174" s="1"/>
      <c r="M174" s="23"/>
      <c r="N174" s="1"/>
      <c r="O174" s="23"/>
      <c r="R174" s="10"/>
    </row>
    <row r="175" customFormat="false" ht="15" hidden="false" customHeight="false" outlineLevel="0" collapsed="false">
      <c r="A175" s="1"/>
      <c r="H175" s="1"/>
      <c r="J175" s="1"/>
      <c r="M175" s="23"/>
      <c r="N175" s="1"/>
      <c r="O175" s="23"/>
      <c r="R175" s="10"/>
    </row>
    <row r="176" customFormat="false" ht="15" hidden="false" customHeight="false" outlineLevel="0" collapsed="false">
      <c r="A176" s="1"/>
      <c r="H176" s="1"/>
      <c r="J176" s="1"/>
      <c r="M176" s="23"/>
      <c r="N176" s="1"/>
      <c r="O176" s="23"/>
      <c r="R176" s="10"/>
    </row>
    <row r="177" customFormat="false" ht="15" hidden="false" customHeight="false" outlineLevel="0" collapsed="false">
      <c r="A177" s="1"/>
      <c r="H177" s="1"/>
      <c r="J177" s="1"/>
      <c r="M177" s="23"/>
      <c r="N177" s="1"/>
      <c r="O177" s="23"/>
      <c r="R177" s="10"/>
    </row>
    <row r="178" customFormat="false" ht="15" hidden="false" customHeight="false" outlineLevel="0" collapsed="false">
      <c r="A178" s="1"/>
      <c r="H178" s="1"/>
      <c r="J178" s="1"/>
      <c r="M178" s="23"/>
      <c r="N178" s="1"/>
      <c r="O178" s="23"/>
      <c r="R178" s="10"/>
    </row>
    <row r="179" customFormat="false" ht="15" hidden="false" customHeight="false" outlineLevel="0" collapsed="false">
      <c r="H179" s="1"/>
      <c r="J179" s="1"/>
      <c r="N179" s="1"/>
      <c r="R179" s="10"/>
    </row>
    <row r="180" customFormat="false" ht="15" hidden="false" customHeight="false" outlineLevel="0" collapsed="false">
      <c r="H180" s="1"/>
      <c r="J180" s="1"/>
      <c r="N180" s="1"/>
      <c r="R180" s="10"/>
    </row>
    <row r="181" customFormat="false" ht="15" hidden="false" customHeight="false" outlineLevel="0" collapsed="false">
      <c r="H181" s="1"/>
      <c r="J181" s="1"/>
      <c r="N181" s="1"/>
      <c r="R181" s="10"/>
    </row>
    <row r="182" customFormat="false" ht="15" hidden="false" customHeight="false" outlineLevel="0" collapsed="false">
      <c r="H182" s="1"/>
      <c r="J182" s="1"/>
      <c r="N182" s="1"/>
      <c r="R182" s="10"/>
    </row>
    <row r="183" customFormat="false" ht="15" hidden="false" customHeight="false" outlineLevel="0" collapsed="false">
      <c r="H183" s="1"/>
      <c r="J183" s="1"/>
      <c r="N183" s="1"/>
      <c r="R183" s="10"/>
    </row>
    <row r="184" customFormat="false" ht="15" hidden="false" customHeight="false" outlineLevel="0" collapsed="false">
      <c r="H184" s="1"/>
      <c r="J184" s="1"/>
      <c r="N184" s="1"/>
      <c r="R184" s="10"/>
    </row>
    <row r="185" customFormat="false" ht="15" hidden="false" customHeight="false" outlineLevel="0" collapsed="false">
      <c r="H185" s="1"/>
      <c r="J185" s="1"/>
      <c r="N185" s="1"/>
      <c r="R185" s="10"/>
    </row>
  </sheetData>
  <conditionalFormatting sqref="N53">
    <cfRule type="containsText" priority="2" operator="containsText" aboveAverage="0" equalAverage="0" bottom="0" percent="0" rank="0" text="a serrar" dxfId="1389">
      <formula>NOT(ISERROR(SEARCH("a serrar",N53)))</formula>
    </cfRule>
    <cfRule type="containsText" priority="3" operator="containsText" aboveAverage="0" equalAverage="0" bottom="0" percent="0" rank="0" text="pronto" dxfId="1390">
      <formula>NOT(ISERROR(SEARCH("pronto",N53)))</formula>
    </cfRule>
    <cfRule type="containsText" priority="4" operator="containsText" aboveAverage="0" equalAverage="0" bottom="0" percent="0" rank="0" text="empreita" dxfId="1391">
      <formula>NOT(ISERROR(SEARCH("empreita",N53)))</formula>
    </cfRule>
    <cfRule type="containsText" priority="5" operator="containsText" aboveAverage="0" equalAverage="0" bottom="0" percent="0" rank="0" text="previsto" dxfId="1392">
      <formula>NOT(ISERROR(SEARCH("previsto",N53)))</formula>
    </cfRule>
    <cfRule type="containsText" priority="6" operator="containsText" aboveAverage="0" equalAverage="0" bottom="0" percent="0" rank="0" text="produzindo" dxfId="1393">
      <formula>NOT(ISERROR(SEARCH("produzindo",N53)))</formula>
    </cfRule>
    <cfRule type="containsText" priority="7" operator="containsText" aboveAverage="0" equalAverage="0" bottom="0" percent="0" rank="0" text="material ok" dxfId="1394">
      <formula>NOT(ISERROR(SEARCH("material ok",N53)))</formula>
    </cfRule>
  </conditionalFormatting>
  <conditionalFormatting sqref="N53:N54">
    <cfRule type="containsText" priority="8" operator="containsText" aboveAverage="0" equalAverage="0" bottom="0" percent="0" rank="0" text="a montar" dxfId="1395">
      <formula>NOT(ISERROR(SEARCH("a montar",N53)))</formula>
    </cfRule>
    <cfRule type="containsText" priority="9" operator="containsText" aboveAverage="0" equalAverage="0" bottom="0" percent="0" rank="0" text="a serrar" dxfId="1396">
      <formula>NOT(ISERROR(SEARCH("a serrar",N53)))</formula>
    </cfRule>
    <cfRule type="containsText" priority="10" operator="containsText" aboveAverage="0" equalAverage="0" bottom="0" percent="0" rank="0" text="pronto" dxfId="1397">
      <formula>NOT(ISERROR(SEARCH("pronto",N53)))</formula>
    </cfRule>
    <cfRule type="containsText" priority="11" operator="containsText" aboveAverage="0" equalAverage="0" bottom="0" percent="0" rank="0" text="empreita" dxfId="1398">
      <formula>NOT(ISERROR(SEARCH("empreita",N53)))</formula>
    </cfRule>
    <cfRule type="containsText" priority="12" operator="containsText" aboveAverage="0" equalAverage="0" bottom="0" percent="0" rank="0" text="previsto" dxfId="1399">
      <formula>NOT(ISERROR(SEARCH("previsto",N53)))</formula>
    </cfRule>
    <cfRule type="containsText" priority="13" operator="containsText" aboveAverage="0" equalAverage="0" bottom="0" percent="0" rank="0" text="produzindo" dxfId="1400">
      <formula>NOT(ISERROR(SEARCH("produzindo",N53)))</formula>
    </cfRule>
    <cfRule type="containsText" priority="14" operator="containsText" aboveAverage="0" equalAverage="0" bottom="0" percent="0" rank="0" text="material ok" dxfId="1401">
      <formula>NOT(ISERROR(SEARCH("material ok",N53)))</formula>
    </cfRule>
  </conditionalFormatting>
  <conditionalFormatting sqref="N43">
    <cfRule type="containsText" priority="15" operator="containsText" aboveAverage="0" equalAverage="0" bottom="0" percent="0" rank="0" text="a serrar" dxfId="1402">
      <formula>NOT(ISERROR(SEARCH("a serrar",N43)))</formula>
    </cfRule>
    <cfRule type="containsText" priority="16" operator="containsText" aboveAverage="0" equalAverage="0" bottom="0" percent="0" rank="0" text="pronto" dxfId="1403">
      <formula>NOT(ISERROR(SEARCH("pronto",N43)))</formula>
    </cfRule>
    <cfRule type="containsText" priority="17" operator="containsText" aboveAverage="0" equalAverage="0" bottom="0" percent="0" rank="0" text="empreita" dxfId="1404">
      <formula>NOT(ISERROR(SEARCH("empreita",N43)))</formula>
    </cfRule>
    <cfRule type="containsText" priority="18" operator="containsText" aboveAverage="0" equalAverage="0" bottom="0" percent="0" rank="0" text="previsto" dxfId="1405">
      <formula>NOT(ISERROR(SEARCH("previsto",N43)))</formula>
    </cfRule>
    <cfRule type="containsText" priority="19" operator="containsText" aboveAverage="0" equalAverage="0" bottom="0" percent="0" rank="0" text="produzindo" dxfId="1406">
      <formula>NOT(ISERROR(SEARCH("produzindo",N43)))</formula>
    </cfRule>
    <cfRule type="containsText" priority="20" operator="containsText" aboveAverage="0" equalAverage="0" bottom="0" percent="0" rank="0" text="material ok" dxfId="1407">
      <formula>NOT(ISERROR(SEARCH("material ok",N43)))</formula>
    </cfRule>
    <cfRule type="containsText" priority="21" operator="containsText" aboveAverage="0" equalAverage="0" bottom="0" percent="0" rank="0" text="a montar" dxfId="1408">
      <formula>NOT(ISERROR(SEARCH("a montar",N43)))</formula>
    </cfRule>
    <cfRule type="containsText" priority="22" operator="containsText" aboveAverage="0" equalAverage="0" bottom="0" percent="0" rank="0" text="a serrar" dxfId="1409">
      <formula>NOT(ISERROR(SEARCH("a serrar",N43)))</formula>
    </cfRule>
    <cfRule type="containsText" priority="23" operator="containsText" aboveAverage="0" equalAverage="0" bottom="0" percent="0" rank="0" text="pronto" dxfId="1410">
      <formula>NOT(ISERROR(SEARCH("pronto",N43)))</formula>
    </cfRule>
    <cfRule type="containsText" priority="24" operator="containsText" aboveAverage="0" equalAverage="0" bottom="0" percent="0" rank="0" text="empreita" dxfId="1411">
      <formula>NOT(ISERROR(SEARCH("empreita",N43)))</formula>
    </cfRule>
    <cfRule type="containsText" priority="25" operator="containsText" aboveAverage="0" equalAverage="0" bottom="0" percent="0" rank="0" text="previsto" dxfId="1412">
      <formula>NOT(ISERROR(SEARCH("previsto",N43)))</formula>
    </cfRule>
    <cfRule type="containsText" priority="26" operator="containsText" aboveAverage="0" equalAverage="0" bottom="0" percent="0" rank="0" text="produzindo" dxfId="1413">
      <formula>NOT(ISERROR(SEARCH("produzindo",N43)))</formula>
    </cfRule>
    <cfRule type="containsText" priority="27" operator="containsText" aboveAverage="0" equalAverage="0" bottom="0" percent="0" rank="0" text="material ok" dxfId="1414">
      <formula>NOT(ISERROR(SEARCH("material ok",N43)))</formula>
    </cfRule>
  </conditionalFormatting>
  <conditionalFormatting sqref="N48:N51">
    <cfRule type="containsText" priority="28" operator="containsText" aboveAverage="0" equalAverage="0" bottom="0" percent="0" rank="0" text="a serrar" dxfId="1415">
      <formula>NOT(ISERROR(SEARCH("a serrar",N48)))</formula>
    </cfRule>
    <cfRule type="containsText" priority="29" operator="containsText" aboveAverage="0" equalAverage="0" bottom="0" percent="0" rank="0" text="pronto" dxfId="1416">
      <formula>NOT(ISERROR(SEARCH("pronto",N48)))</formula>
    </cfRule>
    <cfRule type="containsText" priority="30" operator="containsText" aboveAverage="0" equalAverage="0" bottom="0" percent="0" rank="0" text="empreita" dxfId="1417">
      <formula>NOT(ISERROR(SEARCH("empreita",N48)))</formula>
    </cfRule>
    <cfRule type="containsText" priority="31" operator="containsText" aboveAverage="0" equalAverage="0" bottom="0" percent="0" rank="0" text="previsto" dxfId="1418">
      <formula>NOT(ISERROR(SEARCH("previsto",N48)))</formula>
    </cfRule>
    <cfRule type="containsText" priority="32" operator="containsText" aboveAverage="0" equalAverage="0" bottom="0" percent="0" rank="0" text="produzindo" dxfId="1419">
      <formula>NOT(ISERROR(SEARCH("produzindo",N48)))</formula>
    </cfRule>
    <cfRule type="containsText" priority="33" operator="containsText" aboveAverage="0" equalAverage="0" bottom="0" percent="0" rank="0" text="material ok" dxfId="1420">
      <formula>NOT(ISERROR(SEARCH("material ok",N48)))</formula>
    </cfRule>
    <cfRule type="containsText" priority="34" operator="containsText" aboveAverage="0" equalAverage="0" bottom="0" percent="0" rank="0" text="a montar" dxfId="1421">
      <formula>NOT(ISERROR(SEARCH("a montar",N48)))</formula>
    </cfRule>
    <cfRule type="containsText" priority="35" operator="containsText" aboveAverage="0" equalAverage="0" bottom="0" percent="0" rank="0" text="a serrar" dxfId="1422">
      <formula>NOT(ISERROR(SEARCH("a serrar",N48)))</formula>
    </cfRule>
    <cfRule type="containsText" priority="36" operator="containsText" aboveAverage="0" equalAverage="0" bottom="0" percent="0" rank="0" text="pronto" dxfId="1423">
      <formula>NOT(ISERROR(SEARCH("pronto",N48)))</formula>
    </cfRule>
    <cfRule type="containsText" priority="37" operator="containsText" aboveAverage="0" equalAverage="0" bottom="0" percent="0" rank="0" text="empreita" dxfId="1424">
      <formula>NOT(ISERROR(SEARCH("empreita",N48)))</formula>
    </cfRule>
    <cfRule type="containsText" priority="38" operator="containsText" aboveAverage="0" equalAverage="0" bottom="0" percent="0" rank="0" text="previsto" dxfId="1425">
      <formula>NOT(ISERROR(SEARCH("previsto",N48)))</formula>
    </cfRule>
    <cfRule type="containsText" priority="39" operator="containsText" aboveAverage="0" equalAverage="0" bottom="0" percent="0" rank="0" text="produzindo" dxfId="1426">
      <formula>NOT(ISERROR(SEARCH("produzindo",N48)))</formula>
    </cfRule>
    <cfRule type="containsText" priority="40" operator="containsText" aboveAverage="0" equalAverage="0" bottom="0" percent="0" rank="0" text="material ok" dxfId="1427">
      <formula>NOT(ISERROR(SEARCH("material ok",N48)))</formula>
    </cfRule>
  </conditionalFormatting>
  <conditionalFormatting sqref="N45:N46">
    <cfRule type="containsText" priority="41" operator="containsText" aboveAverage="0" equalAverage="0" bottom="0" percent="0" rank="0" text="a serrar" dxfId="1428">
      <formula>NOT(ISERROR(SEARCH("a serrar",N45)))</formula>
    </cfRule>
    <cfRule type="containsText" priority="42" operator="containsText" aboveAverage="0" equalAverage="0" bottom="0" percent="0" rank="0" text="pronto" dxfId="1429">
      <formula>NOT(ISERROR(SEARCH("pronto",N45)))</formula>
    </cfRule>
    <cfRule type="containsText" priority="43" operator="containsText" aboveAverage="0" equalAverage="0" bottom="0" percent="0" rank="0" text="empreita" dxfId="1430">
      <formula>NOT(ISERROR(SEARCH("empreita",N45)))</formula>
    </cfRule>
    <cfRule type="containsText" priority="44" operator="containsText" aboveAverage="0" equalAverage="0" bottom="0" percent="0" rank="0" text="previsto" dxfId="1431">
      <formula>NOT(ISERROR(SEARCH("previsto",N45)))</formula>
    </cfRule>
    <cfRule type="containsText" priority="45" operator="containsText" aboveAverage="0" equalAverage="0" bottom="0" percent="0" rank="0" text="produzindo" dxfId="1432">
      <formula>NOT(ISERROR(SEARCH("produzindo",N45)))</formula>
    </cfRule>
    <cfRule type="containsText" priority="46" operator="containsText" aboveAverage="0" equalAverage="0" bottom="0" percent="0" rank="0" text="material ok" dxfId="1433">
      <formula>NOT(ISERROR(SEARCH("material ok",N45)))</formula>
    </cfRule>
    <cfRule type="containsText" priority="47" operator="containsText" aboveAverage="0" equalAverage="0" bottom="0" percent="0" rank="0" text="a montar" dxfId="1434">
      <formula>NOT(ISERROR(SEARCH("a montar",N45)))</formula>
    </cfRule>
    <cfRule type="containsText" priority="48" operator="containsText" aboveAverage="0" equalAverage="0" bottom="0" percent="0" rank="0" text="a serrar" dxfId="1435">
      <formula>NOT(ISERROR(SEARCH("a serrar",N45)))</formula>
    </cfRule>
    <cfRule type="containsText" priority="49" operator="containsText" aboveAverage="0" equalAverage="0" bottom="0" percent="0" rank="0" text="pronto" dxfId="1436">
      <formula>NOT(ISERROR(SEARCH("pronto",N45)))</formula>
    </cfRule>
    <cfRule type="containsText" priority="50" operator="containsText" aboveAverage="0" equalAverage="0" bottom="0" percent="0" rank="0" text="empreita" dxfId="1437">
      <formula>NOT(ISERROR(SEARCH("empreita",N45)))</formula>
    </cfRule>
    <cfRule type="containsText" priority="51" operator="containsText" aboveAverage="0" equalAverage="0" bottom="0" percent="0" rank="0" text="previsto" dxfId="1438">
      <formula>NOT(ISERROR(SEARCH("previsto",N45)))</formula>
    </cfRule>
    <cfRule type="containsText" priority="52" operator="containsText" aboveAverage="0" equalAverage="0" bottom="0" percent="0" rank="0" text="produzindo" dxfId="1439">
      <formula>NOT(ISERROR(SEARCH("produzindo",N45)))</formula>
    </cfRule>
    <cfRule type="containsText" priority="53" operator="containsText" aboveAverage="0" equalAverage="0" bottom="0" percent="0" rank="0" text="material ok" dxfId="1440">
      <formula>NOT(ISERROR(SEARCH("material ok",N45)))</formula>
    </cfRule>
  </conditionalFormatting>
  <conditionalFormatting sqref="N40">
    <cfRule type="containsText" priority="54" operator="containsText" aboveAverage="0" equalAverage="0" bottom="0" percent="0" rank="0" text="a montar" dxfId="1441">
      <formula>NOT(ISERROR(SEARCH("a montar",N40)))</formula>
    </cfRule>
  </conditionalFormatting>
  <conditionalFormatting sqref="N40:N41">
    <cfRule type="containsText" priority="55" operator="containsText" aboveAverage="0" equalAverage="0" bottom="0" percent="0" rank="0" text="a serrar" dxfId="1442">
      <formula>NOT(ISERROR(SEARCH("a serrar",N40)))</formula>
    </cfRule>
    <cfRule type="containsText" priority="56" operator="containsText" aboveAverage="0" equalAverage="0" bottom="0" percent="0" rank="0" text="pronto" dxfId="1443">
      <formula>NOT(ISERROR(SEARCH("pronto",N40)))</formula>
    </cfRule>
    <cfRule type="containsText" priority="57" operator="containsText" aboveAverage="0" equalAverage="0" bottom="0" percent="0" rank="0" text="empreita" dxfId="1444">
      <formula>NOT(ISERROR(SEARCH("empreita",N40)))</formula>
    </cfRule>
    <cfRule type="containsText" priority="58" operator="containsText" aboveAverage="0" equalAverage="0" bottom="0" percent="0" rank="0" text="previsto" dxfId="1445">
      <formula>NOT(ISERROR(SEARCH("previsto",N40)))</formula>
    </cfRule>
    <cfRule type="containsText" priority="59" operator="containsText" aboveAverage="0" equalAverage="0" bottom="0" percent="0" rank="0" text="produzindo" dxfId="1446">
      <formula>NOT(ISERROR(SEARCH("produzindo",N40)))</formula>
    </cfRule>
    <cfRule type="containsText" priority="60" operator="containsText" aboveAverage="0" equalAverage="0" bottom="0" percent="0" rank="0" text="material ok" dxfId="1447">
      <formula>NOT(ISERROR(SEARCH("material ok",N40)))</formula>
    </cfRule>
    <cfRule type="containsText" priority="61" operator="containsText" aboveAverage="0" equalAverage="0" bottom="0" percent="0" rank="0" text="a serrar" dxfId="1448">
      <formula>NOT(ISERROR(SEARCH("a serrar",N40)))</formula>
    </cfRule>
    <cfRule type="containsText" priority="62" operator="containsText" aboveAverage="0" equalAverage="0" bottom="0" percent="0" rank="0" text="pronto" dxfId="1449">
      <formula>NOT(ISERROR(SEARCH("pronto",N40)))</formula>
    </cfRule>
    <cfRule type="containsText" priority="63" operator="containsText" aboveAverage="0" equalAverage="0" bottom="0" percent="0" rank="0" text="empreita" dxfId="1450">
      <formula>NOT(ISERROR(SEARCH("empreita",N40)))</formula>
    </cfRule>
    <cfRule type="containsText" priority="64" operator="containsText" aboveAverage="0" equalAverage="0" bottom="0" percent="0" rank="0" text="previsto" dxfId="1451">
      <formula>NOT(ISERROR(SEARCH("previsto",N40)))</formula>
    </cfRule>
    <cfRule type="containsText" priority="65" operator="containsText" aboveAverage="0" equalAverage="0" bottom="0" percent="0" rank="0" text="produzindo" dxfId="1452">
      <formula>NOT(ISERROR(SEARCH("produzindo",N40)))</formula>
    </cfRule>
    <cfRule type="containsText" priority="66" operator="containsText" aboveAverage="0" equalAverage="0" bottom="0" percent="0" rank="0" text="material ok" dxfId="1453">
      <formula>NOT(ISERROR(SEARCH("material ok",N40)))</formula>
    </cfRule>
  </conditionalFormatting>
  <conditionalFormatting sqref="N41">
    <cfRule type="containsText" priority="67" operator="containsText" aboveAverage="0" equalAverage="0" bottom="0" percent="0" rank="0" text="a montar" dxfId="1454">
      <formula>NOT(ISERROR(SEARCH("a montar",N41)))</formula>
    </cfRule>
  </conditionalFormatting>
  <conditionalFormatting sqref="N31:N33">
    <cfRule type="containsText" priority="68" operator="containsText" aboveAverage="0" equalAverage="0" bottom="0" percent="0" rank="0" text="a serrar" dxfId="1455">
      <formula>NOT(ISERROR(SEARCH("a serrar",N31)))</formula>
    </cfRule>
    <cfRule type="containsText" priority="69" operator="containsText" aboveAverage="0" equalAverage="0" bottom="0" percent="0" rank="0" text="pronto" dxfId="1456">
      <formula>NOT(ISERROR(SEARCH("pronto",N31)))</formula>
    </cfRule>
    <cfRule type="containsText" priority="70" operator="containsText" aboveAverage="0" equalAverage="0" bottom="0" percent="0" rank="0" text="empreita" dxfId="1457">
      <formula>NOT(ISERROR(SEARCH("empreita",N31)))</formula>
    </cfRule>
    <cfRule type="containsText" priority="71" operator="containsText" aboveAverage="0" equalAverage="0" bottom="0" percent="0" rank="0" text="previsto" dxfId="1458">
      <formula>NOT(ISERROR(SEARCH("previsto",N31)))</formula>
    </cfRule>
    <cfRule type="containsText" priority="72" operator="containsText" aboveAverage="0" equalAverage="0" bottom="0" percent="0" rank="0" text="produzindo" dxfId="1459">
      <formula>NOT(ISERROR(SEARCH("produzindo",N31)))</formula>
    </cfRule>
    <cfRule type="containsText" priority="73" operator="containsText" aboveAverage="0" equalAverage="0" bottom="0" percent="0" rank="0" text="material ok" dxfId="1460">
      <formula>NOT(ISERROR(SEARCH("material ok",N31)))</formula>
    </cfRule>
    <cfRule type="containsText" priority="74" operator="containsText" aboveAverage="0" equalAverage="0" bottom="0" percent="0" rank="0" text="a montar" dxfId="1461">
      <formula>NOT(ISERROR(SEARCH("a montar",N31)))</formula>
    </cfRule>
    <cfRule type="containsText" priority="75" operator="containsText" aboveAverage="0" equalAverage="0" bottom="0" percent="0" rank="0" text="a serrar" dxfId="1462">
      <formula>NOT(ISERROR(SEARCH("a serrar",N31)))</formula>
    </cfRule>
    <cfRule type="containsText" priority="76" operator="containsText" aboveAverage="0" equalAverage="0" bottom="0" percent="0" rank="0" text="pronto" dxfId="1463">
      <formula>NOT(ISERROR(SEARCH("pronto",N31)))</formula>
    </cfRule>
    <cfRule type="containsText" priority="77" operator="containsText" aboveAverage="0" equalAverage="0" bottom="0" percent="0" rank="0" text="empreita" dxfId="1464">
      <formula>NOT(ISERROR(SEARCH("empreita",N31)))</formula>
    </cfRule>
    <cfRule type="containsText" priority="78" operator="containsText" aboveAverage="0" equalAverage="0" bottom="0" percent="0" rank="0" text="previsto" dxfId="1465">
      <formula>NOT(ISERROR(SEARCH("previsto",N31)))</formula>
    </cfRule>
    <cfRule type="containsText" priority="79" operator="containsText" aboveAverage="0" equalAverage="0" bottom="0" percent="0" rank="0" text="produzindo" dxfId="1466">
      <formula>NOT(ISERROR(SEARCH("produzindo",N31)))</formula>
    </cfRule>
    <cfRule type="containsText" priority="80" operator="containsText" aboveAverage="0" equalAverage="0" bottom="0" percent="0" rank="0" text="material ok" dxfId="1467">
      <formula>NOT(ISERROR(SEARCH("material ok",N31)))</formula>
    </cfRule>
  </conditionalFormatting>
  <conditionalFormatting sqref="N23">
    <cfRule type="containsText" priority="81" operator="containsText" aboveAverage="0" equalAverage="0" bottom="0" percent="0" rank="0" text="a serrar" dxfId="1468">
      <formula>NOT(ISERROR(SEARCH("a serrar",N23)))</formula>
    </cfRule>
    <cfRule type="containsText" priority="82" operator="containsText" aboveAverage="0" equalAverage="0" bottom="0" percent="0" rank="0" text="pronto" dxfId="1469">
      <formula>NOT(ISERROR(SEARCH("pronto",N23)))</formula>
    </cfRule>
    <cfRule type="containsText" priority="83" operator="containsText" aboveAverage="0" equalAverage="0" bottom="0" percent="0" rank="0" text="empreita" dxfId="1470">
      <formula>NOT(ISERROR(SEARCH("empreita",N23)))</formula>
    </cfRule>
    <cfRule type="containsText" priority="84" operator="containsText" aboveAverage="0" equalAverage="0" bottom="0" percent="0" rank="0" text="previsto" dxfId="1471">
      <formula>NOT(ISERROR(SEARCH("previsto",N23)))</formula>
    </cfRule>
    <cfRule type="containsText" priority="85" operator="containsText" aboveAverage="0" equalAverage="0" bottom="0" percent="0" rank="0" text="produzindo" dxfId="1472">
      <formula>NOT(ISERROR(SEARCH("produzindo",N23)))</formula>
    </cfRule>
    <cfRule type="containsText" priority="86" operator="containsText" aboveAverage="0" equalAverage="0" bottom="0" percent="0" rank="0" text="material ok" dxfId="1473">
      <formula>NOT(ISERROR(SEARCH("material ok",N23)))</formula>
    </cfRule>
    <cfRule type="containsText" priority="87" operator="containsText" aboveAverage="0" equalAverage="0" bottom="0" percent="0" rank="0" text="a montar" dxfId="1474">
      <formula>NOT(ISERROR(SEARCH("a montar",N23)))</formula>
    </cfRule>
    <cfRule type="containsText" priority="88" operator="containsText" aboveAverage="0" equalAverage="0" bottom="0" percent="0" rank="0" text="a serrar" dxfId="1475">
      <formula>NOT(ISERROR(SEARCH("a serrar",N23)))</formula>
    </cfRule>
    <cfRule type="containsText" priority="89" operator="containsText" aboveAverage="0" equalAverage="0" bottom="0" percent="0" rank="0" text="pronto" dxfId="1476">
      <formula>NOT(ISERROR(SEARCH("pronto",N23)))</formula>
    </cfRule>
    <cfRule type="containsText" priority="90" operator="containsText" aboveAverage="0" equalAverage="0" bottom="0" percent="0" rank="0" text="empreita" dxfId="1477">
      <formula>NOT(ISERROR(SEARCH("empreita",N23)))</formula>
    </cfRule>
    <cfRule type="containsText" priority="91" operator="containsText" aboveAverage="0" equalAverage="0" bottom="0" percent="0" rank="0" text="previsto" dxfId="1478">
      <formula>NOT(ISERROR(SEARCH("previsto",N23)))</formula>
    </cfRule>
    <cfRule type="containsText" priority="92" operator="containsText" aboveAverage="0" equalAverage="0" bottom="0" percent="0" rank="0" text="produzindo" dxfId="1479">
      <formula>NOT(ISERROR(SEARCH("produzindo",N23)))</formula>
    </cfRule>
    <cfRule type="containsText" priority="93" operator="containsText" aboveAverage="0" equalAverage="0" bottom="0" percent="0" rank="0" text="material ok" dxfId="1480">
      <formula>NOT(ISERROR(SEARCH("material ok",N23)))</formula>
    </cfRule>
  </conditionalFormatting>
  <conditionalFormatting sqref="N25:N27">
    <cfRule type="containsText" priority="94" operator="containsText" aboveAverage="0" equalAverage="0" bottom="0" percent="0" rank="0" text="a serrar" dxfId="1481">
      <formula>NOT(ISERROR(SEARCH("a serrar",N25)))</formula>
    </cfRule>
    <cfRule type="containsText" priority="95" operator="containsText" aboveAverage="0" equalAverage="0" bottom="0" percent="0" rank="0" text="pronto" dxfId="1482">
      <formula>NOT(ISERROR(SEARCH("pronto",N25)))</formula>
    </cfRule>
    <cfRule type="containsText" priority="96" operator="containsText" aboveAverage="0" equalAverage="0" bottom="0" percent="0" rank="0" text="empreita" dxfId="1483">
      <formula>NOT(ISERROR(SEARCH("empreita",N25)))</formula>
    </cfRule>
    <cfRule type="containsText" priority="97" operator="containsText" aboveAverage="0" equalAverage="0" bottom="0" percent="0" rank="0" text="previsto" dxfId="1484">
      <formula>NOT(ISERROR(SEARCH("previsto",N25)))</formula>
    </cfRule>
    <cfRule type="containsText" priority="98" operator="containsText" aboveAverage="0" equalAverage="0" bottom="0" percent="0" rank="0" text="produzindo" dxfId="1485">
      <formula>NOT(ISERROR(SEARCH("produzindo",N25)))</formula>
    </cfRule>
    <cfRule type="containsText" priority="99" operator="containsText" aboveAverage="0" equalAverage="0" bottom="0" percent="0" rank="0" text="material ok" dxfId="1486">
      <formula>NOT(ISERROR(SEARCH("material ok",N25)))</formula>
    </cfRule>
    <cfRule type="containsText" priority="100" operator="containsText" aboveAverage="0" equalAverage="0" bottom="0" percent="0" rank="0" text="a montar" dxfId="1487">
      <formula>NOT(ISERROR(SEARCH("a montar",N25)))</formula>
    </cfRule>
    <cfRule type="containsText" priority="101" operator="containsText" aboveAverage="0" equalAverage="0" bottom="0" percent="0" rank="0" text="a serrar" dxfId="1488">
      <formula>NOT(ISERROR(SEARCH("a serrar",N25)))</formula>
    </cfRule>
    <cfRule type="containsText" priority="102" operator="containsText" aboveAverage="0" equalAverage="0" bottom="0" percent="0" rank="0" text="pronto" dxfId="1489">
      <formula>NOT(ISERROR(SEARCH("pronto",N25)))</formula>
    </cfRule>
    <cfRule type="containsText" priority="103" operator="containsText" aboveAverage="0" equalAverage="0" bottom="0" percent="0" rank="0" text="empreita" dxfId="1490">
      <formula>NOT(ISERROR(SEARCH("empreita",N25)))</formula>
    </cfRule>
    <cfRule type="containsText" priority="104" operator="containsText" aboveAverage="0" equalAverage="0" bottom="0" percent="0" rank="0" text="previsto" dxfId="1491">
      <formula>NOT(ISERROR(SEARCH("previsto",N25)))</formula>
    </cfRule>
    <cfRule type="containsText" priority="105" operator="containsText" aboveAverage="0" equalAverage="0" bottom="0" percent="0" rank="0" text="produzindo" dxfId="1492">
      <formula>NOT(ISERROR(SEARCH("produzindo",N25)))</formula>
    </cfRule>
    <cfRule type="containsText" priority="106" operator="containsText" aboveAverage="0" equalAverage="0" bottom="0" percent="0" rank="0" text="material ok" dxfId="1493">
      <formula>NOT(ISERROR(SEARCH("material ok",N25)))</formula>
    </cfRule>
  </conditionalFormatting>
  <conditionalFormatting sqref="N35:N36">
    <cfRule type="containsText" priority="107" operator="containsText" aboveAverage="0" equalAverage="0" bottom="0" percent="0" rank="0" text="a serrar" dxfId="1494">
      <formula>NOT(ISERROR(SEARCH("a serrar",N35)))</formula>
    </cfRule>
    <cfRule type="containsText" priority="108" operator="containsText" aboveAverage="0" equalAverage="0" bottom="0" percent="0" rank="0" text="pronto" dxfId="1495">
      <formula>NOT(ISERROR(SEARCH("pronto",N35)))</formula>
    </cfRule>
    <cfRule type="containsText" priority="109" operator="containsText" aboveAverage="0" equalAverage="0" bottom="0" percent="0" rank="0" text="empreita" dxfId="1496">
      <formula>NOT(ISERROR(SEARCH("empreita",N35)))</formula>
    </cfRule>
    <cfRule type="containsText" priority="110" operator="containsText" aboveAverage="0" equalAverage="0" bottom="0" percent="0" rank="0" text="previsto" dxfId="1497">
      <formula>NOT(ISERROR(SEARCH("previsto",N35)))</formula>
    </cfRule>
    <cfRule type="containsText" priority="111" operator="containsText" aboveAverage="0" equalAverage="0" bottom="0" percent="0" rank="0" text="produzindo" dxfId="1498">
      <formula>NOT(ISERROR(SEARCH("produzindo",N35)))</formula>
    </cfRule>
    <cfRule type="containsText" priority="112" operator="containsText" aboveAverage="0" equalAverage="0" bottom="0" percent="0" rank="0" text="material ok" dxfId="1499">
      <formula>NOT(ISERROR(SEARCH("material ok",N35)))</formula>
    </cfRule>
  </conditionalFormatting>
  <conditionalFormatting sqref="N35:N37">
    <cfRule type="containsText" priority="113" operator="containsText" aboveAverage="0" equalAverage="0" bottom="0" percent="0" rank="0" text="a montar" dxfId="1500">
      <formula>NOT(ISERROR(SEARCH("a montar",N35)))</formula>
    </cfRule>
  </conditionalFormatting>
  <conditionalFormatting sqref="N37:N38">
    <cfRule type="containsText" priority="114" operator="containsText" aboveAverage="0" equalAverage="0" bottom="0" percent="0" rank="0" text="a serrar" dxfId="1501">
      <formula>NOT(ISERROR(SEARCH("a serrar",N37)))</formula>
    </cfRule>
    <cfRule type="containsText" priority="115" operator="containsText" aboveAverage="0" equalAverage="0" bottom="0" percent="0" rank="0" text="pronto" dxfId="1502">
      <formula>NOT(ISERROR(SEARCH("pronto",N37)))</formula>
    </cfRule>
    <cfRule type="containsText" priority="116" operator="containsText" aboveAverage="0" equalAverage="0" bottom="0" percent="0" rank="0" text="empreita" dxfId="1503">
      <formula>NOT(ISERROR(SEARCH("empreita",N37)))</formula>
    </cfRule>
    <cfRule type="containsText" priority="117" operator="containsText" aboveAverage="0" equalAverage="0" bottom="0" percent="0" rank="0" text="previsto" dxfId="1504">
      <formula>NOT(ISERROR(SEARCH("previsto",N37)))</formula>
    </cfRule>
    <cfRule type="containsText" priority="118" operator="containsText" aboveAverage="0" equalAverage="0" bottom="0" percent="0" rank="0" text="produzindo" dxfId="1505">
      <formula>NOT(ISERROR(SEARCH("produzindo",N37)))</formula>
    </cfRule>
    <cfRule type="containsText" priority="119" operator="containsText" aboveAverage="0" equalAverage="0" bottom="0" percent="0" rank="0" text="material ok" dxfId="1506">
      <formula>NOT(ISERROR(SEARCH("material ok",N37)))</formula>
    </cfRule>
  </conditionalFormatting>
  <conditionalFormatting sqref="N38">
    <cfRule type="containsText" priority="120" operator="containsText" aboveAverage="0" equalAverage="0" bottom="0" percent="0" rank="0" text="a montar" dxfId="1507">
      <formula>NOT(ISERROR(SEARCH("a montar",N38)))</formula>
    </cfRule>
  </conditionalFormatting>
  <conditionalFormatting sqref="N19">
    <cfRule type="containsText" priority="121" operator="containsText" aboveAverage="0" equalAverage="0" bottom="0" percent="0" rank="0" text="a serrar" dxfId="1508">
      <formula>NOT(ISERROR(SEARCH("a serrar",N19)))</formula>
    </cfRule>
    <cfRule type="containsText" priority="122" operator="containsText" aboveAverage="0" equalAverage="0" bottom="0" percent="0" rank="0" text="pronto" dxfId="1509">
      <formula>NOT(ISERROR(SEARCH("pronto",N19)))</formula>
    </cfRule>
    <cfRule type="containsText" priority="123" operator="containsText" aboveAverage="0" equalAverage="0" bottom="0" percent="0" rank="0" text="empreita" dxfId="1510">
      <formula>NOT(ISERROR(SEARCH("empreita",N19)))</formula>
    </cfRule>
    <cfRule type="containsText" priority="124" operator="containsText" aboveAverage="0" equalAverage="0" bottom="0" percent="0" rank="0" text="previsto" dxfId="1511">
      <formula>NOT(ISERROR(SEARCH("previsto",N19)))</formula>
    </cfRule>
    <cfRule type="containsText" priority="125" operator="containsText" aboveAverage="0" equalAverage="0" bottom="0" percent="0" rank="0" text="produzindo" dxfId="1512">
      <formula>NOT(ISERROR(SEARCH("produzindo",N19)))</formula>
    </cfRule>
    <cfRule type="containsText" priority="126" operator="containsText" aboveAverage="0" equalAverage="0" bottom="0" percent="0" rank="0" text="material ok" dxfId="1513">
      <formula>NOT(ISERROR(SEARCH("material ok",N19)))</formula>
    </cfRule>
    <cfRule type="containsText" priority="127" operator="containsText" aboveAverage="0" equalAverage="0" bottom="0" percent="0" rank="0" text="a serrar" dxfId="1514">
      <formula>NOT(ISERROR(SEARCH("a serrar",N19)))</formula>
    </cfRule>
    <cfRule type="containsText" priority="128" operator="containsText" aboveAverage="0" equalAverage="0" bottom="0" percent="0" rank="0" text="pronto" dxfId="1515">
      <formula>NOT(ISERROR(SEARCH("pronto",N19)))</formula>
    </cfRule>
    <cfRule type="containsText" priority="129" operator="containsText" aboveAverage="0" equalAverage="0" bottom="0" percent="0" rank="0" text="empreita" dxfId="1516">
      <formula>NOT(ISERROR(SEARCH("empreita",N19)))</formula>
    </cfRule>
    <cfRule type="containsText" priority="130" operator="containsText" aboveAverage="0" equalAverage="0" bottom="0" percent="0" rank="0" text="previsto" dxfId="1517">
      <formula>NOT(ISERROR(SEARCH("previsto",N19)))</formula>
    </cfRule>
    <cfRule type="containsText" priority="131" operator="containsText" aboveAverage="0" equalAverage="0" bottom="0" percent="0" rank="0" text="produzindo" dxfId="1518">
      <formula>NOT(ISERROR(SEARCH("produzindo",N19)))</formula>
    </cfRule>
    <cfRule type="containsText" priority="132" operator="containsText" aboveAverage="0" equalAverage="0" bottom="0" percent="0" rank="0" text="material ok" dxfId="1519">
      <formula>NOT(ISERROR(SEARCH("material ok",N19)))</formula>
    </cfRule>
    <cfRule type="containsText" priority="133" operator="containsText" aboveAverage="0" equalAverage="0" bottom="0" percent="0" rank="0" text="a montar" dxfId="1520">
      <formula>NOT(ISERROR(SEARCH("a montar",N19)))</formula>
    </cfRule>
    <cfRule type="containsText" priority="134" operator="containsText" aboveAverage="0" equalAverage="0" bottom="0" percent="0" rank="0" text="a serrar" dxfId="1521">
      <formula>NOT(ISERROR(SEARCH("a serrar",N19)))</formula>
    </cfRule>
    <cfRule type="containsText" priority="135" operator="containsText" aboveAverage="0" equalAverage="0" bottom="0" percent="0" rank="0" text="pronto" dxfId="1522">
      <formula>NOT(ISERROR(SEARCH("pronto",N19)))</formula>
    </cfRule>
    <cfRule type="containsText" priority="136" operator="containsText" aboveAverage="0" equalAverage="0" bottom="0" percent="0" rank="0" text="empreita" dxfId="1523">
      <formula>NOT(ISERROR(SEARCH("empreita",N19)))</formula>
    </cfRule>
    <cfRule type="containsText" priority="137" operator="containsText" aboveAverage="0" equalAverage="0" bottom="0" percent="0" rank="0" text="previsto" dxfId="1524">
      <formula>NOT(ISERROR(SEARCH("previsto",N19)))</formula>
    </cfRule>
    <cfRule type="containsText" priority="138" operator="containsText" aboveAverage="0" equalAverage="0" bottom="0" percent="0" rank="0" text="produzindo" dxfId="1525">
      <formula>NOT(ISERROR(SEARCH("produzindo",N19)))</formula>
    </cfRule>
    <cfRule type="containsText" priority="139" operator="containsText" aboveAverage="0" equalAverage="0" bottom="0" percent="0" rank="0" text="material ok" dxfId="1526">
      <formula>NOT(ISERROR(SEARCH("material ok",N19)))</formula>
    </cfRule>
  </conditionalFormatting>
  <conditionalFormatting sqref="N13">
    <cfRule type="containsText" priority="140" operator="containsText" aboveAverage="0" equalAverage="0" bottom="0" percent="0" rank="0" text="a serrar" dxfId="1527">
      <formula>NOT(ISERROR(SEARCH("a serrar",N13)))</formula>
    </cfRule>
    <cfRule type="containsText" priority="141" operator="containsText" aboveAverage="0" equalAverage="0" bottom="0" percent="0" rank="0" text="pronto" dxfId="1528">
      <formula>NOT(ISERROR(SEARCH("pronto",N13)))</formula>
    </cfRule>
    <cfRule type="containsText" priority="142" operator="containsText" aboveAverage="0" equalAverage="0" bottom="0" percent="0" rank="0" text="empreita" dxfId="1529">
      <formula>NOT(ISERROR(SEARCH("empreita",N13)))</formula>
    </cfRule>
    <cfRule type="containsText" priority="143" operator="containsText" aboveAverage="0" equalAverage="0" bottom="0" percent="0" rank="0" text="previsto" dxfId="1530">
      <formula>NOT(ISERROR(SEARCH("previsto",N13)))</formula>
    </cfRule>
    <cfRule type="containsText" priority="144" operator="containsText" aboveAverage="0" equalAverage="0" bottom="0" percent="0" rank="0" text="produzindo" dxfId="1531">
      <formula>NOT(ISERROR(SEARCH("produzindo",N13)))</formula>
    </cfRule>
    <cfRule type="containsText" priority="145" operator="containsText" aboveAverage="0" equalAverage="0" bottom="0" percent="0" rank="0" text="material ok" dxfId="1532">
      <formula>NOT(ISERROR(SEARCH("material ok",N13)))</formula>
    </cfRule>
    <cfRule type="containsText" priority="146" operator="containsText" aboveAverage="0" equalAverage="0" bottom="0" percent="0" rank="0" text="a serrar" dxfId="1533">
      <formula>NOT(ISERROR(SEARCH("a serrar",N13)))</formula>
    </cfRule>
    <cfRule type="containsText" priority="147" operator="containsText" aboveAverage="0" equalAverage="0" bottom="0" percent="0" rank="0" text="pronto" dxfId="1534">
      <formula>NOT(ISERROR(SEARCH("pronto",N13)))</formula>
    </cfRule>
    <cfRule type="containsText" priority="148" operator="containsText" aboveAverage="0" equalAverage="0" bottom="0" percent="0" rank="0" text="empreita" dxfId="1535">
      <formula>NOT(ISERROR(SEARCH("empreita",N13)))</formula>
    </cfRule>
    <cfRule type="containsText" priority="149" operator="containsText" aboveAverage="0" equalAverage="0" bottom="0" percent="0" rank="0" text="previsto" dxfId="1536">
      <formula>NOT(ISERROR(SEARCH("previsto",N13)))</formula>
    </cfRule>
    <cfRule type="containsText" priority="150" operator="containsText" aboveAverage="0" equalAverage="0" bottom="0" percent="0" rank="0" text="produzindo" dxfId="1537">
      <formula>NOT(ISERROR(SEARCH("produzindo",N13)))</formula>
    </cfRule>
    <cfRule type="containsText" priority="151" operator="containsText" aboveAverage="0" equalAverage="0" bottom="0" percent="0" rank="0" text="material ok" dxfId="1538">
      <formula>NOT(ISERROR(SEARCH("material ok",N13)))</formula>
    </cfRule>
    <cfRule type="containsText" priority="152" operator="containsText" aboveAverage="0" equalAverage="0" bottom="0" percent="0" rank="0" text="a montar" dxfId="1539">
      <formula>NOT(ISERROR(SEARCH("a montar",N13)))</formula>
    </cfRule>
    <cfRule type="containsText" priority="153" operator="containsText" aboveAverage="0" equalAverage="0" bottom="0" percent="0" rank="0" text="a serrar" dxfId="1540">
      <formula>NOT(ISERROR(SEARCH("a serrar",N13)))</formula>
    </cfRule>
    <cfRule type="containsText" priority="154" operator="containsText" aboveAverage="0" equalAverage="0" bottom="0" percent="0" rank="0" text="pronto" dxfId="1541">
      <formula>NOT(ISERROR(SEARCH("pronto",N13)))</formula>
    </cfRule>
    <cfRule type="containsText" priority="155" operator="containsText" aboveAverage="0" equalAverage="0" bottom="0" percent="0" rank="0" text="empreita" dxfId="1542">
      <formula>NOT(ISERROR(SEARCH("empreita",N13)))</formula>
    </cfRule>
    <cfRule type="containsText" priority="156" operator="containsText" aboveAverage="0" equalAverage="0" bottom="0" percent="0" rank="0" text="previsto" dxfId="1543">
      <formula>NOT(ISERROR(SEARCH("previsto",N13)))</formula>
    </cfRule>
    <cfRule type="containsText" priority="157" operator="containsText" aboveAverage="0" equalAverage="0" bottom="0" percent="0" rank="0" text="produzindo" dxfId="1544">
      <formula>NOT(ISERROR(SEARCH("produzindo",N13)))</formula>
    </cfRule>
    <cfRule type="containsText" priority="158" operator="containsText" aboveAverage="0" equalAverage="0" bottom="0" percent="0" rank="0" text="material ok" dxfId="1545">
      <formula>NOT(ISERROR(SEARCH("material ok",N13)))</formula>
    </cfRule>
  </conditionalFormatting>
  <conditionalFormatting sqref="N17">
    <cfRule type="containsText" priority="159" operator="containsText" aboveAverage="0" equalAverage="0" bottom="0" percent="0" rank="0" text="a serrar" dxfId="1546">
      <formula>NOT(ISERROR(SEARCH("a serrar",N17)))</formula>
    </cfRule>
    <cfRule type="containsText" priority="160" operator="containsText" aboveAverage="0" equalAverage="0" bottom="0" percent="0" rank="0" text="pronto" dxfId="1547">
      <formula>NOT(ISERROR(SEARCH("pronto",N17)))</formula>
    </cfRule>
    <cfRule type="containsText" priority="161" operator="containsText" aboveAverage="0" equalAverage="0" bottom="0" percent="0" rank="0" text="empreita" dxfId="1548">
      <formula>NOT(ISERROR(SEARCH("empreita",N17)))</formula>
    </cfRule>
    <cfRule type="containsText" priority="162" operator="containsText" aboveAverage="0" equalAverage="0" bottom="0" percent="0" rank="0" text="previsto" dxfId="1549">
      <formula>NOT(ISERROR(SEARCH("previsto",N17)))</formula>
    </cfRule>
    <cfRule type="containsText" priority="163" operator="containsText" aboveAverage="0" equalAverage="0" bottom="0" percent="0" rank="0" text="produzindo" dxfId="1550">
      <formula>NOT(ISERROR(SEARCH("produzindo",N17)))</formula>
    </cfRule>
    <cfRule type="containsText" priority="164" operator="containsText" aboveAverage="0" equalAverage="0" bottom="0" percent="0" rank="0" text="material ok" dxfId="1551">
      <formula>NOT(ISERROR(SEARCH("material ok",N17)))</formula>
    </cfRule>
    <cfRule type="containsText" priority="165" operator="containsText" aboveAverage="0" equalAverage="0" bottom="0" percent="0" rank="0" text="a serrar" dxfId="1552">
      <formula>NOT(ISERROR(SEARCH("a serrar",N17)))</formula>
    </cfRule>
    <cfRule type="containsText" priority="166" operator="containsText" aboveAverage="0" equalAverage="0" bottom="0" percent="0" rank="0" text="pronto" dxfId="1553">
      <formula>NOT(ISERROR(SEARCH("pronto",N17)))</formula>
    </cfRule>
    <cfRule type="containsText" priority="167" operator="containsText" aboveAverage="0" equalAverage="0" bottom="0" percent="0" rank="0" text="empreita" dxfId="1554">
      <formula>NOT(ISERROR(SEARCH("empreita",N17)))</formula>
    </cfRule>
    <cfRule type="containsText" priority="168" operator="containsText" aboveAverage="0" equalAverage="0" bottom="0" percent="0" rank="0" text="previsto" dxfId="1555">
      <formula>NOT(ISERROR(SEARCH("previsto",N17)))</formula>
    </cfRule>
    <cfRule type="containsText" priority="169" operator="containsText" aboveAverage="0" equalAverage="0" bottom="0" percent="0" rank="0" text="produzindo" dxfId="1556">
      <formula>NOT(ISERROR(SEARCH("produzindo",N17)))</formula>
    </cfRule>
    <cfRule type="containsText" priority="170" operator="containsText" aboveAverage="0" equalAverage="0" bottom="0" percent="0" rank="0" text="material ok" dxfId="1557">
      <formula>NOT(ISERROR(SEARCH("material ok",N17)))</formula>
    </cfRule>
    <cfRule type="containsText" priority="171" operator="containsText" aboveAverage="0" equalAverage="0" bottom="0" percent="0" rank="0" text="a montar" dxfId="1558">
      <formula>NOT(ISERROR(SEARCH("a montar",N17)))</formula>
    </cfRule>
    <cfRule type="containsText" priority="172" operator="containsText" aboveAverage="0" equalAverage="0" bottom="0" percent="0" rank="0" text="a serrar" dxfId="1559">
      <formula>NOT(ISERROR(SEARCH("a serrar",N17)))</formula>
    </cfRule>
    <cfRule type="containsText" priority="173" operator="containsText" aboveAverage="0" equalAverage="0" bottom="0" percent="0" rank="0" text="pronto" dxfId="1560">
      <formula>NOT(ISERROR(SEARCH("pronto",N17)))</formula>
    </cfRule>
    <cfRule type="containsText" priority="174" operator="containsText" aboveAverage="0" equalAverage="0" bottom="0" percent="0" rank="0" text="empreita" dxfId="1561">
      <formula>NOT(ISERROR(SEARCH("empreita",N17)))</formula>
    </cfRule>
    <cfRule type="containsText" priority="175" operator="containsText" aboveAverage="0" equalAverage="0" bottom="0" percent="0" rank="0" text="previsto" dxfId="1562">
      <formula>NOT(ISERROR(SEARCH("previsto",N17)))</formula>
    </cfRule>
    <cfRule type="containsText" priority="176" operator="containsText" aboveAverage="0" equalAverage="0" bottom="0" percent="0" rank="0" text="produzindo" dxfId="1563">
      <formula>NOT(ISERROR(SEARCH("produzindo",N17)))</formula>
    </cfRule>
    <cfRule type="containsText" priority="177" operator="containsText" aboveAverage="0" equalAverage="0" bottom="0" percent="0" rank="0" text="material ok" dxfId="1564">
      <formula>NOT(ISERROR(SEARCH("material ok",N17)))</formula>
    </cfRule>
  </conditionalFormatting>
  <conditionalFormatting sqref="N15">
    <cfRule type="containsText" priority="178" operator="containsText" aboveAverage="0" equalAverage="0" bottom="0" percent="0" rank="0" text="a serrar" dxfId="1565">
      <formula>NOT(ISERROR(SEARCH("a serrar",N15)))</formula>
    </cfRule>
    <cfRule type="containsText" priority="179" operator="containsText" aboveAverage="0" equalAverage="0" bottom="0" percent="0" rank="0" text="pronto" dxfId="1566">
      <formula>NOT(ISERROR(SEARCH("pronto",N15)))</formula>
    </cfRule>
    <cfRule type="containsText" priority="180" operator="containsText" aboveAverage="0" equalAverage="0" bottom="0" percent="0" rank="0" text="empreita" dxfId="1567">
      <formula>NOT(ISERROR(SEARCH("empreita",N15)))</formula>
    </cfRule>
    <cfRule type="containsText" priority="181" operator="containsText" aboveAverage="0" equalAverage="0" bottom="0" percent="0" rank="0" text="previsto" dxfId="1568">
      <formula>NOT(ISERROR(SEARCH("previsto",N15)))</formula>
    </cfRule>
    <cfRule type="containsText" priority="182" operator="containsText" aboveAverage="0" equalAverage="0" bottom="0" percent="0" rank="0" text="produzindo" dxfId="1569">
      <formula>NOT(ISERROR(SEARCH("produzindo",N15)))</formula>
    </cfRule>
    <cfRule type="containsText" priority="183" operator="containsText" aboveAverage="0" equalAverage="0" bottom="0" percent="0" rank="0" text="material ok" dxfId="1570">
      <formula>NOT(ISERROR(SEARCH("material ok",N15)))</formula>
    </cfRule>
    <cfRule type="containsText" priority="184" operator="containsText" aboveAverage="0" equalAverage="0" bottom="0" percent="0" rank="0" text="a serrar" dxfId="1571">
      <formula>NOT(ISERROR(SEARCH("a serrar",N15)))</formula>
    </cfRule>
    <cfRule type="containsText" priority="185" operator="containsText" aboveAverage="0" equalAverage="0" bottom="0" percent="0" rank="0" text="pronto" dxfId="1572">
      <formula>NOT(ISERROR(SEARCH("pronto",N15)))</formula>
    </cfRule>
    <cfRule type="containsText" priority="186" operator="containsText" aboveAverage="0" equalAverage="0" bottom="0" percent="0" rank="0" text="empreita" dxfId="1573">
      <formula>NOT(ISERROR(SEARCH("empreita",N15)))</formula>
    </cfRule>
    <cfRule type="containsText" priority="187" operator="containsText" aboveAverage="0" equalAverage="0" bottom="0" percent="0" rank="0" text="previsto" dxfId="1574">
      <formula>NOT(ISERROR(SEARCH("previsto",N15)))</formula>
    </cfRule>
    <cfRule type="containsText" priority="188" operator="containsText" aboveAverage="0" equalAverage="0" bottom="0" percent="0" rank="0" text="produzindo" dxfId="1575">
      <formula>NOT(ISERROR(SEARCH("produzindo",N15)))</formula>
    </cfRule>
    <cfRule type="containsText" priority="189" operator="containsText" aboveAverage="0" equalAverage="0" bottom="0" percent="0" rank="0" text="material ok" dxfId="1576">
      <formula>NOT(ISERROR(SEARCH("material ok",N15)))</formula>
    </cfRule>
    <cfRule type="containsText" priority="190" operator="containsText" aboveAverage="0" equalAverage="0" bottom="0" percent="0" rank="0" text="a montar" dxfId="1577">
      <formula>NOT(ISERROR(SEARCH("a montar",N15)))</formula>
    </cfRule>
    <cfRule type="containsText" priority="191" operator="containsText" aboveAverage="0" equalAverage="0" bottom="0" percent="0" rank="0" text="a serrar" dxfId="1578">
      <formula>NOT(ISERROR(SEARCH("a serrar",N15)))</formula>
    </cfRule>
    <cfRule type="containsText" priority="192" operator="containsText" aboveAverage="0" equalAverage="0" bottom="0" percent="0" rank="0" text="pronto" dxfId="1579">
      <formula>NOT(ISERROR(SEARCH("pronto",N15)))</formula>
    </cfRule>
    <cfRule type="containsText" priority="193" operator="containsText" aboveAverage="0" equalAverage="0" bottom="0" percent="0" rank="0" text="empreita" dxfId="1580">
      <formula>NOT(ISERROR(SEARCH("empreita",N15)))</formula>
    </cfRule>
    <cfRule type="containsText" priority="194" operator="containsText" aboveAverage="0" equalAverage="0" bottom="0" percent="0" rank="0" text="previsto" dxfId="1581">
      <formula>NOT(ISERROR(SEARCH("previsto",N15)))</formula>
    </cfRule>
    <cfRule type="containsText" priority="195" operator="containsText" aboveAverage="0" equalAverage="0" bottom="0" percent="0" rank="0" text="produzindo" dxfId="1582">
      <formula>NOT(ISERROR(SEARCH("produzindo",N15)))</formula>
    </cfRule>
    <cfRule type="containsText" priority="196" operator="containsText" aboveAverage="0" equalAverage="0" bottom="0" percent="0" rank="0" text="material ok" dxfId="1583">
      <formula>NOT(ISERROR(SEARCH("material ok",N15)))</formula>
    </cfRule>
  </conditionalFormatting>
  <conditionalFormatting sqref="N21">
    <cfRule type="containsText" priority="197" operator="containsText" aboveAverage="0" equalAverage="0" bottom="0" percent="0" rank="0" text="a serrar" dxfId="1584">
      <formula>NOT(ISERROR(SEARCH("a serrar",N21)))</formula>
    </cfRule>
    <cfRule type="containsText" priority="198" operator="containsText" aboveAverage="0" equalAverage="0" bottom="0" percent="0" rank="0" text="pronto" dxfId="1585">
      <formula>NOT(ISERROR(SEARCH("pronto",N21)))</formula>
    </cfRule>
    <cfRule type="containsText" priority="199" operator="containsText" aboveAverage="0" equalAverage="0" bottom="0" percent="0" rank="0" text="empreita" dxfId="1586">
      <formula>NOT(ISERROR(SEARCH("empreita",N21)))</formula>
    </cfRule>
    <cfRule type="containsText" priority="200" operator="containsText" aboveAverage="0" equalAverage="0" bottom="0" percent="0" rank="0" text="previsto" dxfId="1587">
      <formula>NOT(ISERROR(SEARCH("previsto",N21)))</formula>
    </cfRule>
    <cfRule type="containsText" priority="201" operator="containsText" aboveAverage="0" equalAverage="0" bottom="0" percent="0" rank="0" text="produzindo" dxfId="1588">
      <formula>NOT(ISERROR(SEARCH("produzindo",N21)))</formula>
    </cfRule>
    <cfRule type="containsText" priority="202" operator="containsText" aboveAverage="0" equalAverage="0" bottom="0" percent="0" rank="0" text="material ok" dxfId="1589">
      <formula>NOT(ISERROR(SEARCH("material ok",N21)))</formula>
    </cfRule>
    <cfRule type="containsText" priority="203" operator="containsText" aboveAverage="0" equalAverage="0" bottom="0" percent="0" rank="0" text="a montar" dxfId="1590">
      <formula>NOT(ISERROR(SEARCH("a montar",N21)))</formula>
    </cfRule>
    <cfRule type="containsText" priority="204" operator="containsText" aboveAverage="0" equalAverage="0" bottom="0" percent="0" rank="0" text="a serrar" dxfId="1591">
      <formula>NOT(ISERROR(SEARCH("a serrar",N21)))</formula>
    </cfRule>
    <cfRule type="containsText" priority="205" operator="containsText" aboveAverage="0" equalAverage="0" bottom="0" percent="0" rank="0" text="pronto" dxfId="1592">
      <formula>NOT(ISERROR(SEARCH("pronto",N21)))</formula>
    </cfRule>
    <cfRule type="containsText" priority="206" operator="containsText" aboveAverage="0" equalAverage="0" bottom="0" percent="0" rank="0" text="empreita" dxfId="1593">
      <formula>NOT(ISERROR(SEARCH("empreita",N21)))</formula>
    </cfRule>
    <cfRule type="containsText" priority="207" operator="containsText" aboveAverage="0" equalAverage="0" bottom="0" percent="0" rank="0" text="previsto" dxfId="1594">
      <formula>NOT(ISERROR(SEARCH("previsto",N21)))</formula>
    </cfRule>
    <cfRule type="containsText" priority="208" operator="containsText" aboveAverage="0" equalAverage="0" bottom="0" percent="0" rank="0" text="produzindo" dxfId="1595">
      <formula>NOT(ISERROR(SEARCH("produzindo",N21)))</formula>
    </cfRule>
    <cfRule type="containsText" priority="209" operator="containsText" aboveAverage="0" equalAverage="0" bottom="0" percent="0" rank="0" text="material ok" dxfId="1596">
      <formula>NOT(ISERROR(SEARCH("material ok",N21)))</formula>
    </cfRule>
  </conditionalFormatting>
  <conditionalFormatting sqref="N29">
    <cfRule type="containsText" priority="210" operator="containsText" aboveAverage="0" equalAverage="0" bottom="0" percent="0" rank="0" text="a serrar" dxfId="1597">
      <formula>NOT(ISERROR(SEARCH("a serrar",N29)))</formula>
    </cfRule>
    <cfRule type="containsText" priority="211" operator="containsText" aboveAverage="0" equalAverage="0" bottom="0" percent="0" rank="0" text="pronto" dxfId="1598">
      <formula>NOT(ISERROR(SEARCH("pronto",N29)))</formula>
    </cfRule>
    <cfRule type="containsText" priority="212" operator="containsText" aboveAverage="0" equalAverage="0" bottom="0" percent="0" rank="0" text="empreita" dxfId="1599">
      <formula>NOT(ISERROR(SEARCH("empreita",N29)))</formula>
    </cfRule>
    <cfRule type="containsText" priority="213" operator="containsText" aboveAverage="0" equalAverage="0" bottom="0" percent="0" rank="0" text="previsto" dxfId="1600">
      <formula>NOT(ISERROR(SEARCH("previsto",N29)))</formula>
    </cfRule>
    <cfRule type="containsText" priority="214" operator="containsText" aboveAverage="0" equalAverage="0" bottom="0" percent="0" rank="0" text="produzindo" dxfId="1601">
      <formula>NOT(ISERROR(SEARCH("produzindo",N29)))</formula>
    </cfRule>
    <cfRule type="containsText" priority="215" operator="containsText" aboveAverage="0" equalAverage="0" bottom="0" percent="0" rank="0" text="material ok" dxfId="1602">
      <formula>NOT(ISERROR(SEARCH("material ok",N29)))</formula>
    </cfRule>
    <cfRule type="containsText" priority="216" operator="containsText" aboveAverage="0" equalAverage="0" bottom="0" percent="0" rank="0" text="a montar" dxfId="1603">
      <formula>NOT(ISERROR(SEARCH("a montar",N29)))</formula>
    </cfRule>
    <cfRule type="containsText" priority="217" operator="containsText" aboveAverage="0" equalAverage="0" bottom="0" percent="0" rank="0" text="a serrar" dxfId="1604">
      <formula>NOT(ISERROR(SEARCH("a serrar",N29)))</formula>
    </cfRule>
    <cfRule type="containsText" priority="218" operator="containsText" aboveAverage="0" equalAverage="0" bottom="0" percent="0" rank="0" text="pronto" dxfId="1605">
      <formula>NOT(ISERROR(SEARCH("pronto",N29)))</formula>
    </cfRule>
    <cfRule type="containsText" priority="219" operator="containsText" aboveAverage="0" equalAverage="0" bottom="0" percent="0" rank="0" text="empreita" dxfId="1606">
      <formula>NOT(ISERROR(SEARCH("empreita",N29)))</formula>
    </cfRule>
    <cfRule type="containsText" priority="220" operator="containsText" aboveAverage="0" equalAverage="0" bottom="0" percent="0" rank="0" text="previsto" dxfId="1607">
      <formula>NOT(ISERROR(SEARCH("previsto",N29)))</formula>
    </cfRule>
    <cfRule type="containsText" priority="221" operator="containsText" aboveAverage="0" equalAverage="0" bottom="0" percent="0" rank="0" text="produzindo" dxfId="1608">
      <formula>NOT(ISERROR(SEARCH("produzindo",N29)))</formula>
    </cfRule>
    <cfRule type="containsText" priority="222" operator="containsText" aboveAverage="0" equalAverage="0" bottom="0" percent="0" rank="0" text="material ok" dxfId="1609">
      <formula>NOT(ISERROR(SEARCH("material ok",N29)))</formula>
    </cfRule>
  </conditionalFormatting>
  <conditionalFormatting sqref="N10:N11">
    <cfRule type="containsText" priority="223" operator="containsText" aboveAverage="0" equalAverage="0" bottom="0" percent="0" rank="0" text="a serrar" dxfId="1610">
      <formula>NOT(ISERROR(SEARCH("a serrar",N10)))</formula>
    </cfRule>
    <cfRule type="containsText" priority="224" operator="containsText" aboveAverage="0" equalAverage="0" bottom="0" percent="0" rank="0" text="pronto" dxfId="1611">
      <formula>NOT(ISERROR(SEARCH("pronto",N10)))</formula>
    </cfRule>
    <cfRule type="containsText" priority="225" operator="containsText" aboveAverage="0" equalAverage="0" bottom="0" percent="0" rank="0" text="empreita" dxfId="1612">
      <formula>NOT(ISERROR(SEARCH("empreita",N10)))</formula>
    </cfRule>
    <cfRule type="containsText" priority="226" operator="containsText" aboveAverage="0" equalAverage="0" bottom="0" percent="0" rank="0" text="previsto" dxfId="1613">
      <formula>NOT(ISERROR(SEARCH("previsto",N10)))</formula>
    </cfRule>
    <cfRule type="containsText" priority="227" operator="containsText" aboveAverage="0" equalAverage="0" bottom="0" percent="0" rank="0" text="produzindo" dxfId="1614">
      <formula>NOT(ISERROR(SEARCH("produzindo",N10)))</formula>
    </cfRule>
    <cfRule type="containsText" priority="228" operator="containsText" aboveAverage="0" equalAverage="0" bottom="0" percent="0" rank="0" text="material ok" dxfId="1615">
      <formula>NOT(ISERROR(SEARCH("material ok",N10)))</formula>
    </cfRule>
    <cfRule type="containsText" priority="229" operator="containsText" aboveAverage="0" equalAverage="0" bottom="0" percent="0" rank="0" text="a serrar" dxfId="1616">
      <formula>NOT(ISERROR(SEARCH("a serrar",N10)))</formula>
    </cfRule>
    <cfRule type="containsText" priority="230" operator="containsText" aboveAverage="0" equalAverage="0" bottom="0" percent="0" rank="0" text="pronto" dxfId="1617">
      <formula>NOT(ISERROR(SEARCH("pronto",N10)))</formula>
    </cfRule>
    <cfRule type="containsText" priority="231" operator="containsText" aboveAverage="0" equalAverage="0" bottom="0" percent="0" rank="0" text="empreita" dxfId="1618">
      <formula>NOT(ISERROR(SEARCH("empreita",N10)))</formula>
    </cfRule>
    <cfRule type="containsText" priority="232" operator="containsText" aboveAverage="0" equalAverage="0" bottom="0" percent="0" rank="0" text="previsto" dxfId="1619">
      <formula>NOT(ISERROR(SEARCH("previsto",N10)))</formula>
    </cfRule>
    <cfRule type="containsText" priority="233" operator="containsText" aboveAverage="0" equalAverage="0" bottom="0" percent="0" rank="0" text="produzindo" dxfId="1620">
      <formula>NOT(ISERROR(SEARCH("produzindo",N10)))</formula>
    </cfRule>
    <cfRule type="containsText" priority="234" operator="containsText" aboveAverage="0" equalAverage="0" bottom="0" percent="0" rank="0" text="material ok" dxfId="1621">
      <formula>NOT(ISERROR(SEARCH("material ok",N10)))</formula>
    </cfRule>
    <cfRule type="containsText" priority="235" operator="containsText" aboveAverage="0" equalAverage="0" bottom="0" percent="0" rank="0" text="a serrar" dxfId="1622">
      <formula>NOT(ISERROR(SEARCH("a serrar",N10)))</formula>
    </cfRule>
    <cfRule type="containsText" priority="236" operator="containsText" aboveAverage="0" equalAverage="0" bottom="0" percent="0" rank="0" text="pronto" dxfId="1623">
      <formula>NOT(ISERROR(SEARCH("pronto",N10)))</formula>
    </cfRule>
    <cfRule type="containsText" priority="237" operator="containsText" aboveAverage="0" equalAverage="0" bottom="0" percent="0" rank="0" text="empreita" dxfId="1624">
      <formula>NOT(ISERROR(SEARCH("empreita",N10)))</formula>
    </cfRule>
    <cfRule type="containsText" priority="238" operator="containsText" aboveAverage="0" equalAverage="0" bottom="0" percent="0" rank="0" text="previsto" dxfId="1625">
      <formula>NOT(ISERROR(SEARCH("previsto",N10)))</formula>
    </cfRule>
    <cfRule type="containsText" priority="239" operator="containsText" aboveAverage="0" equalAverage="0" bottom="0" percent="0" rank="0" text="produzindo" dxfId="1626">
      <formula>NOT(ISERROR(SEARCH("produzindo",N10)))</formula>
    </cfRule>
    <cfRule type="containsText" priority="240" operator="containsText" aboveAverage="0" equalAverage="0" bottom="0" percent="0" rank="0" text="material ok" dxfId="1627">
      <formula>NOT(ISERROR(SEARCH("material ok",N10)))</formula>
    </cfRule>
  </conditionalFormatting>
  <conditionalFormatting sqref="N5:N8 N87 N89:N90 N120">
    <cfRule type="containsText" priority="241" operator="containsText" aboveAverage="0" equalAverage="0" bottom="0" percent="0" rank="0" text="a serrar" dxfId="1628">
      <formula>NOT(ISERROR(SEARCH("a serrar",N5)))</formula>
    </cfRule>
    <cfRule type="containsText" priority="242" operator="containsText" aboveAverage="0" equalAverage="0" bottom="0" percent="0" rank="0" text="pronto" dxfId="1629">
      <formula>NOT(ISERROR(SEARCH("pronto",N5)))</formula>
    </cfRule>
    <cfRule type="containsText" priority="243" operator="containsText" aboveAverage="0" equalAverage="0" bottom="0" percent="0" rank="0" text="empreita" dxfId="1630">
      <formula>NOT(ISERROR(SEARCH("empreita",N5)))</formula>
    </cfRule>
    <cfRule type="containsText" priority="244" operator="containsText" aboveAverage="0" equalAverage="0" bottom="0" percent="0" rank="0" text="previsto" dxfId="1631">
      <formula>NOT(ISERROR(SEARCH("previsto",N5)))</formula>
    </cfRule>
    <cfRule type="containsText" priority="245" operator="containsText" aboveAverage="0" equalAverage="0" bottom="0" percent="0" rank="0" text="produzindo" dxfId="1632">
      <formula>NOT(ISERROR(SEARCH("produzindo",N5)))</formula>
    </cfRule>
    <cfRule type="containsText" priority="246" operator="containsText" aboveAverage="0" equalAverage="0" bottom="0" percent="0" rank="0" text="material ok" dxfId="1633">
      <formula>NOT(ISERROR(SEARCH("material ok",N5)))</formula>
    </cfRule>
  </conditionalFormatting>
  <conditionalFormatting sqref="N1:N8 N89:N90 N120 N10:N11 N118 N122:N185">
    <cfRule type="containsText" priority="247" operator="containsText" aboveAverage="0" equalAverage="0" bottom="0" percent="0" rank="0" text="a montar" dxfId="1634">
      <formula>NOT(ISERROR(SEARCH("a montar",N1)))</formula>
    </cfRule>
  </conditionalFormatting>
  <conditionalFormatting sqref="M1">
    <cfRule type="containsText" priority="248" operator="containsText" aboveAverage="0" equalAverage="0" bottom="0" percent="0" rank="0" text="a montar" dxfId="1635">
      <formula>NOT(ISERROR(SEARCH("a montar",M1)))</formula>
    </cfRule>
    <cfRule type="containsText" priority="249" operator="containsText" aboveAverage="0" equalAverage="0" bottom="0" percent="0" rank="0" text="a serrar" dxfId="1636">
      <formula>NOT(ISERROR(SEARCH("a serrar",M1)))</formula>
    </cfRule>
    <cfRule type="containsText" priority="250" operator="containsText" aboveAverage="0" equalAverage="0" bottom="0" percent="0" rank="0" text="pronto" dxfId="1637">
      <formula>NOT(ISERROR(SEARCH("pronto",M1)))</formula>
    </cfRule>
    <cfRule type="containsText" priority="251" operator="containsText" aboveAverage="0" equalAverage="0" bottom="0" percent="0" rank="0" text="empreita" dxfId="1638">
      <formula>NOT(ISERROR(SEARCH("empreita",M1)))</formula>
    </cfRule>
    <cfRule type="containsText" priority="252" operator="containsText" aboveAverage="0" equalAverage="0" bottom="0" percent="0" rank="0" text="previsto" dxfId="1639">
      <formula>NOT(ISERROR(SEARCH("previsto",M1)))</formula>
    </cfRule>
    <cfRule type="containsText" priority="253" operator="containsText" aboveAverage="0" equalAverage="0" bottom="0" percent="0" rank="0" text="produzindo" dxfId="1640">
      <formula>NOT(ISERROR(SEARCH("produzindo",M1)))</formula>
    </cfRule>
    <cfRule type="containsText" priority="254" operator="containsText" aboveAverage="0" equalAverage="0" bottom="0" percent="0" rank="0" text="material ok" dxfId="1641">
      <formula>NOT(ISERROR(SEARCH("material ok",M1)))</formula>
    </cfRule>
  </conditionalFormatting>
  <conditionalFormatting sqref="N74:N87 J1 N92:N93 N98 N115:N116">
    <cfRule type="containsText" priority="255" operator="containsText" aboveAverage="0" equalAverage="0" bottom="0" percent="0" rank="0" text="a montar" dxfId="1642">
      <formula>NOT(ISERROR(SEARCH("a montar",J1)))</formula>
    </cfRule>
  </conditionalFormatting>
  <conditionalFormatting sqref="J1 N74:N86 N92:N93 N98 N115:N116 N122:N185 N35:N38">
    <cfRule type="containsText" priority="256" operator="containsText" aboveAverage="0" equalAverage="0" bottom="0" percent="0" rank="0" text="a serrar" dxfId="1643">
      <formula>NOT(ISERROR(SEARCH("a serrar",J1)))</formula>
    </cfRule>
  </conditionalFormatting>
  <conditionalFormatting sqref="J1 N35:N38 N74:N86 N92:N93 N98 N115:N116 N122:N185">
    <cfRule type="containsText" priority="257" operator="containsText" aboveAverage="0" equalAverage="0" bottom="0" percent="0" rank="0" text="pronto" dxfId="1644">
      <formula>NOT(ISERROR(SEARCH("pronto",J1)))</formula>
    </cfRule>
    <cfRule type="containsText" priority="258" operator="containsText" aboveAverage="0" equalAverage="0" bottom="0" percent="0" rank="0" text="empreita" dxfId="1645">
      <formula>NOT(ISERROR(SEARCH("empreita",J1)))</formula>
    </cfRule>
    <cfRule type="containsText" priority="259" operator="containsText" aboveAverage="0" equalAverage="0" bottom="0" percent="0" rank="0" text="previsto" dxfId="1646">
      <formula>NOT(ISERROR(SEARCH("previsto",J1)))</formula>
    </cfRule>
    <cfRule type="containsText" priority="260" operator="containsText" aboveAverage="0" equalAverage="0" bottom="0" percent="0" rank="0" text="produzindo" dxfId="1647">
      <formula>NOT(ISERROR(SEARCH("produzindo",J1)))</formula>
    </cfRule>
    <cfRule type="containsText" priority="261" operator="containsText" aboveAverage="0" equalAverage="0" bottom="0" percent="0" rank="0" text="material ok" dxfId="1648">
      <formula>NOT(ISERROR(SEARCH("material ok",J1)))</formula>
    </cfRule>
  </conditionalFormatting>
  <conditionalFormatting sqref="N1:N8 N118">
    <cfRule type="containsText" priority="262" operator="containsText" aboveAverage="0" equalAverage="0" bottom="0" percent="0" rank="0" text="a serrar" dxfId="1649">
      <formula>NOT(ISERROR(SEARCH("a serrar",N1)))</formula>
    </cfRule>
    <cfRule type="containsText" priority="263" operator="containsText" aboveAverage="0" equalAverage="0" bottom="0" percent="0" rank="0" text="pronto" dxfId="1650">
      <formula>NOT(ISERROR(SEARCH("pronto",N1)))</formula>
    </cfRule>
    <cfRule type="containsText" priority="264" operator="containsText" aboveAverage="0" equalAverage="0" bottom="0" percent="0" rank="0" text="empreita" dxfId="1651">
      <formula>NOT(ISERROR(SEARCH("empreita",N1)))</formula>
    </cfRule>
    <cfRule type="containsText" priority="265" operator="containsText" aboveAverage="0" equalAverage="0" bottom="0" percent="0" rank="0" text="previsto" dxfId="1652">
      <formula>NOT(ISERROR(SEARCH("previsto",N1)))</formula>
    </cfRule>
    <cfRule type="containsText" priority="266" operator="containsText" aboveAverage="0" equalAverage="0" bottom="0" percent="0" rank="0" text="produzindo" dxfId="1653">
      <formula>NOT(ISERROR(SEARCH("produzindo",N1)))</formula>
    </cfRule>
    <cfRule type="containsText" priority="267" operator="containsText" aboveAverage="0" equalAverage="0" bottom="0" percent="0" rank="0" text="material ok" dxfId="1654">
      <formula>NOT(ISERROR(SEARCH("material ok",N1)))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1"/>
  <sheetViews>
    <sheetView showFormulas="false" showGridLines="true" showRowColHeaders="true" showZeros="true" rightToLeft="false" tabSelected="false" showOutlineSymbols="true" defaultGridColor="true" view="normal" topLeftCell="A85" colorId="64" zoomScale="100" zoomScaleNormal="100" zoomScalePageLayoutView="100" workbookViewId="0">
      <selection pane="topLeft" activeCell="L105" activeCellId="0" sqref="L105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2" style="0" width="18.86"/>
    <col collapsed="false" customWidth="true" hidden="false" outlineLevel="0" max="3" min="3" style="0" width="22.71"/>
    <col collapsed="false" customWidth="true" hidden="false" outlineLevel="0" max="4" min="4" style="0" width="7.15"/>
    <col collapsed="false" customWidth="true" hidden="false" outlineLevel="0" max="5" min="5" style="0" width="22.86"/>
    <col collapsed="false" customWidth="true" hidden="false" outlineLevel="0" max="11" min="11" style="0" width="12"/>
    <col collapsed="false" customWidth="true" hidden="false" outlineLevel="0" max="12" min="12" style="0" width="10.14"/>
    <col collapsed="false" customWidth="true" hidden="false" outlineLevel="0" max="13" min="13" style="0" width="13.86"/>
    <col collapsed="false" customWidth="true" hidden="false" outlineLevel="0" max="14" min="14" style="0" width="10.71"/>
    <col collapsed="false" customWidth="true" hidden="false" outlineLevel="0" max="15" min="15" style="0" width="12.29"/>
    <col collapsed="false" customWidth="true" hidden="false" outlineLevel="0" max="16" min="16" style="0" width="13.43"/>
  </cols>
  <sheetData>
    <row r="1" customFormat="false" ht="16.4" hidden="false" customHeight="false" outlineLevel="0" collapsed="false">
      <c r="A1" s="1"/>
      <c r="C1" s="2"/>
      <c r="D1" s="1"/>
      <c r="F1" s="1"/>
      <c r="G1" s="1"/>
      <c r="H1" s="1"/>
      <c r="I1" s="1"/>
      <c r="J1" s="3" t="s">
        <v>0</v>
      </c>
      <c r="K1" s="4" t="s">
        <v>1</v>
      </c>
      <c r="L1" s="5" t="s">
        <v>2</v>
      </c>
      <c r="M1" s="6" t="s">
        <v>3</v>
      </c>
      <c r="N1" s="3" t="s">
        <v>4</v>
      </c>
      <c r="O1" s="7" t="s">
        <v>5</v>
      </c>
      <c r="P1" s="8" t="s">
        <v>6</v>
      </c>
      <c r="Q1" s="9" t="s">
        <v>3</v>
      </c>
      <c r="R1" s="11"/>
    </row>
    <row r="2" customFormat="false" ht="15" hidden="false" customHeight="false" outlineLevel="0" collapsed="false">
      <c r="A2" s="1"/>
      <c r="C2" s="2"/>
      <c r="D2" s="1"/>
      <c r="F2" s="1"/>
      <c r="G2" s="1"/>
      <c r="H2" s="1"/>
      <c r="I2" s="1"/>
      <c r="J2" s="1"/>
      <c r="K2" s="12"/>
      <c r="L2" s="13"/>
      <c r="M2" s="14"/>
      <c r="N2" s="15"/>
      <c r="O2" s="10"/>
      <c r="P2" s="1"/>
      <c r="Q2" s="11"/>
      <c r="R2" s="11"/>
    </row>
    <row r="3" customFormat="false" ht="16.4" hidden="false" customHeight="false" outlineLevel="0" collapsed="false">
      <c r="A3" s="16" t="s">
        <v>7</v>
      </c>
      <c r="B3" s="16" t="s">
        <v>8</v>
      </c>
      <c r="C3" s="16" t="s">
        <v>9</v>
      </c>
      <c r="D3" s="16"/>
      <c r="E3" s="16" t="s">
        <v>10</v>
      </c>
      <c r="F3" s="16" t="s">
        <v>11</v>
      </c>
      <c r="G3" s="16" t="s">
        <v>12</v>
      </c>
      <c r="H3" s="17" t="s">
        <v>13</v>
      </c>
      <c r="I3" s="16" t="s">
        <v>14</v>
      </c>
      <c r="J3" s="16" t="s">
        <v>15</v>
      </c>
      <c r="K3" s="16" t="s">
        <v>16</v>
      </c>
      <c r="L3" s="18" t="s">
        <v>17</v>
      </c>
      <c r="M3" s="18" t="s">
        <v>18</v>
      </c>
      <c r="N3" s="19" t="s">
        <v>19</v>
      </c>
      <c r="O3" s="18"/>
      <c r="P3" s="16" t="s">
        <v>20</v>
      </c>
      <c r="Q3" s="20"/>
      <c r="R3" s="16" t="s">
        <v>21</v>
      </c>
    </row>
    <row r="4" customFormat="false" ht="15" hidden="false" customHeight="false" outlineLevel="0" collapsed="false">
      <c r="A4" s="1"/>
      <c r="D4" s="1"/>
      <c r="F4" s="1"/>
      <c r="G4" s="1"/>
      <c r="H4" s="1"/>
      <c r="I4" s="1"/>
      <c r="J4" s="1"/>
      <c r="M4" s="23"/>
      <c r="N4" s="12"/>
      <c r="O4" s="23"/>
    </row>
    <row r="5" customFormat="false" ht="16.4" hidden="false" customHeight="false" outlineLevel="0" collapsed="false">
      <c r="A5" s="1" t="n">
        <v>6142</v>
      </c>
      <c r="B5" s="0" t="s">
        <v>159</v>
      </c>
      <c r="C5" s="0" t="s">
        <v>376</v>
      </c>
      <c r="D5" s="1" t="s">
        <v>37</v>
      </c>
      <c r="E5" s="0" t="s">
        <v>377</v>
      </c>
      <c r="F5" s="1" t="n">
        <v>3.405</v>
      </c>
      <c r="G5" s="1" t="n">
        <v>3.405</v>
      </c>
      <c r="H5" s="1" t="n">
        <f aca="false">-((G5*100/F5)-100)</f>
        <v>-0</v>
      </c>
      <c r="I5" s="33" t="n">
        <v>1386</v>
      </c>
      <c r="J5" s="1" t="n">
        <f aca="false">(F5-G5)*I5</f>
        <v>0</v>
      </c>
      <c r="K5" s="1" t="n">
        <f aca="false">G5*I5</f>
        <v>4719.33</v>
      </c>
      <c r="M5" s="23" t="n">
        <v>13330</v>
      </c>
      <c r="N5" s="3" t="s">
        <v>4</v>
      </c>
      <c r="O5" s="23" t="n">
        <v>13330</v>
      </c>
      <c r="P5" s="0" t="s">
        <v>26</v>
      </c>
    </row>
    <row r="6" customFormat="false" ht="16.4" hidden="false" customHeight="false" outlineLevel="0" collapsed="false">
      <c r="A6" s="1" t="n">
        <v>6142</v>
      </c>
      <c r="B6" s="0" t="s">
        <v>159</v>
      </c>
      <c r="C6" s="0" t="s">
        <v>376</v>
      </c>
      <c r="D6" s="1" t="s">
        <v>37</v>
      </c>
      <c r="E6" s="0" t="s">
        <v>377</v>
      </c>
      <c r="F6" s="1" t="n">
        <v>3.405</v>
      </c>
      <c r="G6" s="1" t="n">
        <v>3.405</v>
      </c>
      <c r="H6" s="1" t="n">
        <f aca="false">-((G6*100/F6)-100)</f>
        <v>-0</v>
      </c>
      <c r="I6" s="33" t="n">
        <v>1386</v>
      </c>
      <c r="J6" s="1" t="n">
        <f aca="false">(F6-G6)*I6</f>
        <v>0</v>
      </c>
      <c r="K6" s="1" t="n">
        <f aca="false">G6*I6</f>
        <v>4719.33</v>
      </c>
      <c r="M6" s="23" t="n">
        <v>13330</v>
      </c>
      <c r="N6" s="3" t="s">
        <v>4</v>
      </c>
      <c r="O6" s="23" t="n">
        <v>13330</v>
      </c>
      <c r="P6" s="0" t="s">
        <v>29</v>
      </c>
    </row>
    <row r="7" customFormat="false" ht="15" hidden="false" customHeight="false" outlineLevel="0" collapsed="false">
      <c r="A7" s="1"/>
      <c r="D7" s="1"/>
      <c r="F7" s="1"/>
      <c r="G7" s="1"/>
      <c r="H7" s="1"/>
      <c r="I7" s="63"/>
      <c r="J7" s="1"/>
      <c r="K7" s="1" t="n">
        <f aca="false">G7*I7</f>
        <v>0</v>
      </c>
      <c r="M7" s="23"/>
      <c r="N7" s="3"/>
      <c r="O7" s="23"/>
    </row>
    <row r="8" customFormat="false" ht="16.4" hidden="false" customHeight="false" outlineLevel="0" collapsed="false">
      <c r="A8" s="1" t="n">
        <v>0</v>
      </c>
      <c r="B8" s="0" t="s">
        <v>280</v>
      </c>
      <c r="C8" s="0" t="s">
        <v>34</v>
      </c>
      <c r="D8" s="1" t="s">
        <v>37</v>
      </c>
      <c r="E8" s="0" t="s">
        <v>38</v>
      </c>
      <c r="F8" s="1" t="n">
        <v>0.09</v>
      </c>
      <c r="G8" s="1" t="n">
        <v>0.09</v>
      </c>
      <c r="H8" s="1" t="n">
        <f aca="false">-((G8*100/F8)-100)</f>
        <v>-0</v>
      </c>
      <c r="I8" s="33" t="n">
        <v>450</v>
      </c>
      <c r="J8" s="1" t="n">
        <f aca="false">(F8-G8)*I8</f>
        <v>0</v>
      </c>
      <c r="K8" s="1" t="n">
        <f aca="false">G8*I8</f>
        <v>40.5</v>
      </c>
      <c r="M8" s="23" t="n">
        <v>180</v>
      </c>
      <c r="N8" s="3" t="s">
        <v>4</v>
      </c>
      <c r="O8" s="23" t="n">
        <v>180</v>
      </c>
      <c r="P8" s="2" t="s">
        <v>29</v>
      </c>
    </row>
    <row r="9" customFormat="false" ht="15" hidden="false" customHeight="false" outlineLevel="0" collapsed="false">
      <c r="A9" s="1"/>
      <c r="D9" s="1"/>
      <c r="F9" s="1"/>
      <c r="G9" s="1"/>
      <c r="H9" s="1"/>
      <c r="I9" s="63"/>
      <c r="J9" s="1"/>
      <c r="K9" s="1" t="n">
        <f aca="false">G9*I9</f>
        <v>0</v>
      </c>
      <c r="M9" s="23"/>
      <c r="N9" s="3"/>
      <c r="O9" s="23"/>
      <c r="P9" s="2"/>
    </row>
    <row r="10" customFormat="false" ht="16.4" hidden="false" customHeight="false" outlineLevel="0" collapsed="false">
      <c r="A10" s="1" t="n">
        <v>6200</v>
      </c>
      <c r="B10" s="0" t="s">
        <v>327</v>
      </c>
      <c r="C10" s="0" t="s">
        <v>130</v>
      </c>
      <c r="D10" s="1" t="s">
        <v>37</v>
      </c>
      <c r="E10" s="0" t="s">
        <v>143</v>
      </c>
      <c r="F10" s="1" t="n">
        <v>4.4</v>
      </c>
      <c r="G10" s="1" t="n">
        <v>4.4</v>
      </c>
      <c r="H10" s="1" t="n">
        <f aca="false">-((G10*100/F10)-100)</f>
        <v>-0</v>
      </c>
      <c r="I10" s="33" t="n">
        <v>415</v>
      </c>
      <c r="J10" s="1" t="n">
        <f aca="false">(F10-G10)*I10</f>
        <v>0</v>
      </c>
      <c r="K10" s="1" t="n">
        <f aca="false">G10*I10</f>
        <v>1826</v>
      </c>
      <c r="M10" s="23" t="n">
        <v>5843</v>
      </c>
      <c r="N10" s="3" t="s">
        <v>4</v>
      </c>
      <c r="O10" s="23" t="n">
        <v>5843</v>
      </c>
      <c r="P10" s="2" t="s">
        <v>29</v>
      </c>
    </row>
    <row r="11" customFormat="false" ht="16.4" hidden="false" customHeight="false" outlineLevel="0" collapsed="false">
      <c r="A11" s="1" t="n">
        <v>6200</v>
      </c>
      <c r="B11" s="0" t="s">
        <v>327</v>
      </c>
      <c r="C11" s="0" t="s">
        <v>378</v>
      </c>
      <c r="D11" s="1"/>
      <c r="H11" s="1" t="e">
        <f aca="false">-((G11*100/F11)-100)</f>
        <v>#DIV/0!</v>
      </c>
      <c r="J11" s="1" t="n">
        <f aca="false">(F11-G11)*I11</f>
        <v>0</v>
      </c>
      <c r="K11" s="1" t="n">
        <f aca="false">G11*I11</f>
        <v>0</v>
      </c>
      <c r="L11" s="1" t="n">
        <v>192</v>
      </c>
      <c r="M11" s="23" t="n">
        <v>341</v>
      </c>
      <c r="N11" s="3" t="s">
        <v>4</v>
      </c>
      <c r="O11" s="23" t="n">
        <v>341</v>
      </c>
      <c r="P11" s="2" t="s">
        <v>29</v>
      </c>
    </row>
    <row r="12" customFormat="false" ht="15" hidden="false" customHeight="false" outlineLevel="0" collapsed="false">
      <c r="A12" s="1"/>
      <c r="D12" s="1"/>
      <c r="H12" s="1"/>
      <c r="J12" s="1"/>
      <c r="K12" s="1" t="n">
        <f aca="false">G12*I12</f>
        <v>0</v>
      </c>
      <c r="L12" s="1"/>
      <c r="M12" s="23"/>
      <c r="N12" s="3"/>
      <c r="O12" s="23"/>
      <c r="P12" s="2"/>
    </row>
    <row r="13" customFormat="false" ht="16.4" hidden="false" customHeight="false" outlineLevel="0" collapsed="false">
      <c r="A13" s="1" t="n">
        <v>6197</v>
      </c>
      <c r="B13" s="0" t="s">
        <v>363</v>
      </c>
      <c r="C13" s="0" t="s">
        <v>379</v>
      </c>
      <c r="D13" s="1" t="s">
        <v>24</v>
      </c>
      <c r="E13" s="0" t="s">
        <v>380</v>
      </c>
      <c r="F13" s="1" t="n">
        <v>11.74</v>
      </c>
      <c r="G13" s="1" t="n">
        <v>11.14</v>
      </c>
      <c r="H13" s="1" t="n">
        <f aca="false">-((G13*100/F13)-100)</f>
        <v>5.1107325383305</v>
      </c>
      <c r="I13" s="33" t="n">
        <v>264</v>
      </c>
      <c r="J13" s="1" t="n">
        <f aca="false">(F13-G13)*I13</f>
        <v>158.4</v>
      </c>
      <c r="K13" s="1" t="n">
        <f aca="false">G13*I13</f>
        <v>2940.96</v>
      </c>
      <c r="M13" s="23" t="n">
        <v>10972.5</v>
      </c>
      <c r="N13" s="3" t="s">
        <v>4</v>
      </c>
      <c r="O13" s="23" t="n">
        <v>10972.5</v>
      </c>
      <c r="P13" s="2" t="s">
        <v>26</v>
      </c>
    </row>
    <row r="14" customFormat="false" ht="16.4" hidden="false" customHeight="false" outlineLevel="0" collapsed="false">
      <c r="A14" s="1" t="n">
        <v>6197</v>
      </c>
      <c r="B14" s="0" t="s">
        <v>363</v>
      </c>
      <c r="C14" s="0" t="s">
        <v>379</v>
      </c>
      <c r="D14" s="1" t="s">
        <v>24</v>
      </c>
      <c r="E14" s="0" t="s">
        <v>380</v>
      </c>
      <c r="F14" s="1" t="n">
        <v>11.74</v>
      </c>
      <c r="G14" s="1" t="n">
        <v>11.14</v>
      </c>
      <c r="H14" s="1" t="n">
        <f aca="false">-((G14*100/F14)-100)</f>
        <v>5.1107325383305</v>
      </c>
      <c r="I14" s="33" t="n">
        <v>264</v>
      </c>
      <c r="J14" s="1" t="n">
        <f aca="false">(F14-G14)*I14</f>
        <v>158.4</v>
      </c>
      <c r="K14" s="1" t="n">
        <f aca="false">G14*I14</f>
        <v>2940.96</v>
      </c>
      <c r="M14" s="23" t="n">
        <v>10972.5</v>
      </c>
      <c r="N14" s="3" t="s">
        <v>4</v>
      </c>
      <c r="O14" s="23" t="n">
        <v>10972.5</v>
      </c>
      <c r="P14" s="2" t="s">
        <v>355</v>
      </c>
    </row>
    <row r="15" customFormat="false" ht="15" hidden="false" customHeight="false" outlineLevel="0" collapsed="false">
      <c r="A15" s="1"/>
      <c r="D15" s="1"/>
      <c r="F15" s="1"/>
      <c r="G15" s="1"/>
      <c r="H15" s="1"/>
      <c r="I15" s="63"/>
      <c r="J15" s="1"/>
      <c r="K15" s="1" t="n">
        <f aca="false">G15*I15</f>
        <v>0</v>
      </c>
      <c r="M15" s="23"/>
      <c r="N15" s="3"/>
      <c r="O15" s="23"/>
      <c r="P15" s="2"/>
    </row>
    <row r="16" customFormat="false" ht="16.4" hidden="false" customHeight="false" outlineLevel="0" collapsed="false">
      <c r="A16" s="1" t="n">
        <v>6157</v>
      </c>
      <c r="B16" s="0" t="s">
        <v>270</v>
      </c>
      <c r="C16" s="0" t="s">
        <v>42</v>
      </c>
      <c r="D16" s="1" t="s">
        <v>24</v>
      </c>
      <c r="E16" s="0" t="s">
        <v>35</v>
      </c>
      <c r="F16" s="1" t="n">
        <v>3.73</v>
      </c>
      <c r="G16" s="1" t="n">
        <v>3.73</v>
      </c>
      <c r="H16" s="1" t="n">
        <f aca="false">-((G16*100/F16)-100)</f>
        <v>-0</v>
      </c>
      <c r="I16" s="33" t="n">
        <v>284</v>
      </c>
      <c r="J16" s="1" t="n">
        <f aca="false">(F16-G16)*I16</f>
        <v>0</v>
      </c>
      <c r="K16" s="1" t="n">
        <f aca="false">G16*I16</f>
        <v>1059.32</v>
      </c>
      <c r="M16" s="23" t="n">
        <v>3958</v>
      </c>
      <c r="N16" s="3" t="s">
        <v>4</v>
      </c>
      <c r="O16" s="23" t="n">
        <v>3958</v>
      </c>
      <c r="P16" s="2" t="s">
        <v>29</v>
      </c>
    </row>
    <row r="17" customFormat="false" ht="15" hidden="false" customHeight="false" outlineLevel="0" collapsed="false">
      <c r="A17" s="1"/>
      <c r="D17" s="1"/>
      <c r="F17" s="1"/>
      <c r="G17" s="1"/>
      <c r="H17" s="1"/>
      <c r="I17" s="63"/>
      <c r="J17" s="1"/>
      <c r="K17" s="1" t="n">
        <f aca="false">G17*I17</f>
        <v>0</v>
      </c>
      <c r="M17" s="23"/>
      <c r="N17" s="3"/>
      <c r="O17" s="23"/>
      <c r="P17" s="2"/>
    </row>
    <row r="18" customFormat="false" ht="16.4" hidden="false" customHeight="false" outlineLevel="0" collapsed="false">
      <c r="A18" s="1" t="n">
        <v>6191</v>
      </c>
      <c r="B18" s="0" t="s">
        <v>381</v>
      </c>
      <c r="C18" s="0" t="s">
        <v>154</v>
      </c>
      <c r="D18" s="1" t="s">
        <v>53</v>
      </c>
      <c r="E18" s="0" t="s">
        <v>382</v>
      </c>
      <c r="F18" s="1" t="n">
        <v>1.32</v>
      </c>
      <c r="G18" s="1" t="n">
        <v>1.32</v>
      </c>
      <c r="H18" s="1" t="n">
        <f aca="false">-((G18*100/F18)-100)</f>
        <v>-0</v>
      </c>
      <c r="I18" s="33" t="n">
        <v>760</v>
      </c>
      <c r="J18" s="1" t="n">
        <f aca="false">(F18-G18)*I18</f>
        <v>0</v>
      </c>
      <c r="K18" s="1" t="n">
        <f aca="false">G18*I18</f>
        <v>1003.2</v>
      </c>
      <c r="M18" s="23" t="n">
        <v>2379</v>
      </c>
      <c r="N18" s="3" t="s">
        <v>4</v>
      </c>
      <c r="O18" s="23" t="n">
        <v>2379</v>
      </c>
      <c r="P18" s="2" t="s">
        <v>29</v>
      </c>
    </row>
    <row r="19" customFormat="false" ht="16.4" hidden="false" customHeight="false" outlineLevel="0" collapsed="false">
      <c r="A19" s="1" t="n">
        <v>6191</v>
      </c>
      <c r="B19" s="0" t="s">
        <v>381</v>
      </c>
      <c r="C19" s="0" t="s">
        <v>58</v>
      </c>
      <c r="D19" s="1" t="s">
        <v>53</v>
      </c>
      <c r="E19" s="0" t="s">
        <v>382</v>
      </c>
      <c r="F19" s="1" t="n">
        <v>1.26</v>
      </c>
      <c r="G19" s="1" t="n">
        <v>1.26</v>
      </c>
      <c r="H19" s="1" t="n">
        <f aca="false">-((G19*100/F19)-100)</f>
        <v>-0</v>
      </c>
      <c r="I19" s="33" t="n">
        <v>760</v>
      </c>
      <c r="J19" s="1" t="n">
        <f aca="false">(F19-G19)*I19</f>
        <v>0</v>
      </c>
      <c r="K19" s="1" t="n">
        <f aca="false">G19*I19</f>
        <v>957.6</v>
      </c>
      <c r="M19" s="23" t="n">
        <v>2271</v>
      </c>
      <c r="N19" s="3" t="s">
        <v>4</v>
      </c>
      <c r="O19" s="23" t="n">
        <v>2271</v>
      </c>
      <c r="P19" s="2" t="s">
        <v>29</v>
      </c>
    </row>
    <row r="20" customFormat="false" ht="15" hidden="false" customHeight="false" outlineLevel="0" collapsed="false">
      <c r="A20" s="1"/>
      <c r="D20" s="1"/>
      <c r="F20" s="1"/>
      <c r="G20" s="1"/>
      <c r="H20" s="1"/>
      <c r="I20" s="63"/>
      <c r="J20" s="1"/>
      <c r="K20" s="1" t="n">
        <f aca="false">G20*I20</f>
        <v>0</v>
      </c>
      <c r="M20" s="23"/>
      <c r="N20" s="3"/>
      <c r="O20" s="23"/>
      <c r="P20" s="2"/>
    </row>
    <row r="21" customFormat="false" ht="16.4" hidden="false" customHeight="false" outlineLevel="0" collapsed="false">
      <c r="A21" s="1" t="n">
        <v>6157</v>
      </c>
      <c r="B21" s="0" t="s">
        <v>270</v>
      </c>
      <c r="C21" s="0" t="s">
        <v>51</v>
      </c>
      <c r="D21" s="1" t="s">
        <v>37</v>
      </c>
      <c r="E21" s="0" t="s">
        <v>368</v>
      </c>
      <c r="F21" s="1" t="n">
        <v>1.1</v>
      </c>
      <c r="G21" s="1" t="n">
        <v>1.1</v>
      </c>
      <c r="H21" s="1" t="n">
        <f aca="false">-((G21*100/F21)-100)</f>
        <v>-0</v>
      </c>
      <c r="I21" s="33" t="n">
        <v>650</v>
      </c>
      <c r="J21" s="1" t="n">
        <f aca="false">(F21-G21)*I21</f>
        <v>0</v>
      </c>
      <c r="K21" s="1" t="n">
        <f aca="false">G21*I21</f>
        <v>715</v>
      </c>
      <c r="M21" s="23" t="n">
        <v>2078</v>
      </c>
      <c r="N21" s="3" t="s">
        <v>4</v>
      </c>
      <c r="O21" s="23" t="n">
        <v>2078</v>
      </c>
      <c r="P21" s="0" t="s">
        <v>26</v>
      </c>
    </row>
    <row r="22" customFormat="false" ht="16.4" hidden="false" customHeight="false" outlineLevel="0" collapsed="false">
      <c r="A22" s="1" t="n">
        <v>6157</v>
      </c>
      <c r="B22" s="0" t="s">
        <v>270</v>
      </c>
      <c r="C22" s="0" t="s">
        <v>383</v>
      </c>
      <c r="D22" s="1" t="s">
        <v>37</v>
      </c>
      <c r="E22" s="0" t="s">
        <v>368</v>
      </c>
      <c r="F22" s="1" t="n">
        <v>0.78</v>
      </c>
      <c r="G22" s="1" t="n">
        <v>0.78</v>
      </c>
      <c r="H22" s="1" t="n">
        <f aca="false">-((G22*100/F22)-100)</f>
        <v>-0</v>
      </c>
      <c r="I22" s="33" t="n">
        <v>650</v>
      </c>
      <c r="J22" s="1" t="n">
        <f aca="false">(F22-G22)*I22</f>
        <v>0</v>
      </c>
      <c r="K22" s="1" t="n">
        <f aca="false">G22*I22</f>
        <v>507</v>
      </c>
      <c r="M22" s="23" t="n">
        <v>1216</v>
      </c>
      <c r="N22" s="3" t="s">
        <v>4</v>
      </c>
      <c r="O22" s="23" t="n">
        <v>2078</v>
      </c>
      <c r="P22" s="0" t="s">
        <v>26</v>
      </c>
    </row>
    <row r="23" customFormat="false" ht="16.4" hidden="false" customHeight="false" outlineLevel="0" collapsed="false">
      <c r="A23" s="1" t="n">
        <v>6157</v>
      </c>
      <c r="B23" s="0" t="s">
        <v>270</v>
      </c>
      <c r="C23" s="0" t="s">
        <v>384</v>
      </c>
      <c r="D23" s="1" t="s">
        <v>37</v>
      </c>
      <c r="E23" s="0" t="s">
        <v>368</v>
      </c>
      <c r="F23" s="1" t="n">
        <v>1.21</v>
      </c>
      <c r="G23" s="1" t="n">
        <v>1.21</v>
      </c>
      <c r="H23" s="1" t="n">
        <f aca="false">-((G23*100/F23)-100)</f>
        <v>-0</v>
      </c>
      <c r="I23" s="33" t="n">
        <v>650</v>
      </c>
      <c r="J23" s="1" t="n">
        <f aca="false">(F23-G23)*I23</f>
        <v>0</v>
      </c>
      <c r="K23" s="1" t="n">
        <f aca="false">G23*I23</f>
        <v>786.5</v>
      </c>
      <c r="M23" s="23" t="n">
        <v>1887</v>
      </c>
      <c r="N23" s="3" t="s">
        <v>4</v>
      </c>
      <c r="O23" s="23" t="n">
        <v>2078</v>
      </c>
      <c r="P23" s="0" t="s">
        <v>26</v>
      </c>
    </row>
    <row r="24" customFormat="false" ht="15" hidden="false" customHeight="false" outlineLevel="0" collapsed="false">
      <c r="A24" s="1"/>
      <c r="D24" s="1"/>
      <c r="F24" s="1"/>
      <c r="G24" s="1"/>
      <c r="H24" s="1"/>
      <c r="I24" s="63"/>
      <c r="J24" s="1"/>
      <c r="K24" s="1" t="n">
        <f aca="false">G24*I24</f>
        <v>0</v>
      </c>
      <c r="M24" s="23"/>
      <c r="N24" s="3"/>
      <c r="O24" s="23"/>
    </row>
    <row r="25" customFormat="false" ht="16.4" hidden="false" customHeight="false" outlineLevel="0" collapsed="false">
      <c r="A25" s="1" t="n">
        <v>6206</v>
      </c>
      <c r="B25" s="0" t="s">
        <v>385</v>
      </c>
      <c r="C25" s="0" t="s">
        <v>130</v>
      </c>
      <c r="D25" s="1" t="s">
        <v>24</v>
      </c>
      <c r="E25" s="0" t="s">
        <v>386</v>
      </c>
      <c r="F25" s="1" t="n">
        <v>6.04</v>
      </c>
      <c r="G25" s="1" t="n">
        <v>6.04</v>
      </c>
      <c r="H25" s="1" t="n">
        <f aca="false">-((G25*100/F25)-100)</f>
        <v>-0</v>
      </c>
      <c r="I25" s="33" t="n">
        <v>220</v>
      </c>
      <c r="J25" s="1" t="n">
        <f aca="false">(F25-G25)*I25</f>
        <v>0</v>
      </c>
      <c r="K25" s="1" t="n">
        <f aca="false">G25*I25</f>
        <v>1328.8</v>
      </c>
      <c r="M25" s="23" t="n">
        <v>6750</v>
      </c>
      <c r="N25" s="3" t="s">
        <v>4</v>
      </c>
      <c r="O25" s="23" t="n">
        <v>6750</v>
      </c>
      <c r="P25" s="0" t="s">
        <v>29</v>
      </c>
    </row>
    <row r="26" customFormat="false" ht="16.4" hidden="false" customHeight="false" outlineLevel="0" collapsed="false">
      <c r="A26" s="1" t="n">
        <v>6206</v>
      </c>
      <c r="B26" s="0" t="s">
        <v>385</v>
      </c>
      <c r="C26" s="0" t="s">
        <v>387</v>
      </c>
      <c r="D26" s="1"/>
      <c r="F26" s="1"/>
      <c r="H26" s="1" t="e">
        <f aca="false">-((G26*100/F26)-100)</f>
        <v>#DIV/0!</v>
      </c>
      <c r="J26" s="1" t="n">
        <f aca="false">(F26-G26)*I26</f>
        <v>0</v>
      </c>
      <c r="K26" s="1" t="n">
        <f aca="false">G26*I26</f>
        <v>0</v>
      </c>
      <c r="L26" s="1" t="n">
        <v>439</v>
      </c>
      <c r="M26" s="23" t="n">
        <v>495</v>
      </c>
      <c r="N26" s="3" t="s">
        <v>4</v>
      </c>
      <c r="O26" s="23" t="n">
        <v>495</v>
      </c>
      <c r="P26" s="0" t="s">
        <v>29</v>
      </c>
    </row>
    <row r="27" customFormat="false" ht="16.4" hidden="false" customHeight="false" outlineLevel="0" collapsed="false">
      <c r="A27" s="1" t="n">
        <v>6206</v>
      </c>
      <c r="B27" s="0" t="s">
        <v>385</v>
      </c>
      <c r="C27" s="0" t="s">
        <v>142</v>
      </c>
      <c r="D27" s="1" t="s">
        <v>24</v>
      </c>
      <c r="E27" s="0" t="s">
        <v>386</v>
      </c>
      <c r="F27" s="1" t="n">
        <v>0.83</v>
      </c>
      <c r="G27" s="1" t="n">
        <v>0.83</v>
      </c>
      <c r="H27" s="1" t="n">
        <f aca="false">-((G27*100/F27)-100)</f>
        <v>-0</v>
      </c>
      <c r="I27" s="33" t="n">
        <v>220</v>
      </c>
      <c r="J27" s="1" t="n">
        <f aca="false">(F27-G27)*I27</f>
        <v>0</v>
      </c>
      <c r="K27" s="1" t="n">
        <f aca="false">G27*I27</f>
        <v>182.6</v>
      </c>
      <c r="M27" s="23" t="n">
        <v>745</v>
      </c>
      <c r="N27" s="3" t="s">
        <v>4</v>
      </c>
      <c r="O27" s="23" t="n">
        <v>745</v>
      </c>
      <c r="P27" s="0" t="s">
        <v>29</v>
      </c>
    </row>
    <row r="28" customFormat="false" ht="16.4" hidden="false" customHeight="false" outlineLevel="0" collapsed="false">
      <c r="A28" s="1" t="n">
        <v>6206</v>
      </c>
      <c r="B28" s="0" t="s">
        <v>385</v>
      </c>
      <c r="C28" s="0" t="s">
        <v>388</v>
      </c>
      <c r="D28" s="1"/>
      <c r="F28" s="1"/>
      <c r="H28" s="1" t="e">
        <f aca="false">-((G28*100/F28)-100)</f>
        <v>#DIV/0!</v>
      </c>
      <c r="J28" s="1" t="n">
        <f aca="false">(F28-G28)*I28</f>
        <v>0</v>
      </c>
      <c r="K28" s="1" t="n">
        <f aca="false">G28*I28</f>
        <v>0</v>
      </c>
      <c r="L28" s="1" t="n">
        <v>105</v>
      </c>
      <c r="M28" s="23" t="n">
        <v>105</v>
      </c>
      <c r="N28" s="3" t="s">
        <v>4</v>
      </c>
      <c r="O28" s="23" t="n">
        <v>105</v>
      </c>
      <c r="P28" s="0" t="s">
        <v>29</v>
      </c>
    </row>
    <row r="29" customFormat="false" ht="16.4" hidden="false" customHeight="false" outlineLevel="0" collapsed="false">
      <c r="A29" s="1" t="n">
        <v>6206</v>
      </c>
      <c r="B29" s="0" t="s">
        <v>385</v>
      </c>
      <c r="C29" s="0" t="s">
        <v>144</v>
      </c>
      <c r="D29" s="1" t="s">
        <v>24</v>
      </c>
      <c r="E29" s="0" t="s">
        <v>386</v>
      </c>
      <c r="F29" s="1" t="n">
        <v>0.94</v>
      </c>
      <c r="G29" s="1" t="n">
        <v>0.94</v>
      </c>
      <c r="H29" s="1" t="n">
        <f aca="false">-((G29*100/F29)-100)</f>
        <v>-0</v>
      </c>
      <c r="I29" s="33" t="n">
        <v>220</v>
      </c>
      <c r="J29" s="1" t="n">
        <f aca="false">(F29-G29)*I29</f>
        <v>0</v>
      </c>
      <c r="K29" s="1" t="n">
        <f aca="false">G29*I29</f>
        <v>206.8</v>
      </c>
      <c r="L29" s="1"/>
      <c r="M29" s="23" t="n">
        <v>800</v>
      </c>
      <c r="N29" s="3" t="s">
        <v>4</v>
      </c>
      <c r="O29" s="23" t="n">
        <v>800</v>
      </c>
      <c r="P29" s="0" t="s">
        <v>29</v>
      </c>
    </row>
    <row r="30" customFormat="false" ht="16.4" hidden="false" customHeight="false" outlineLevel="0" collapsed="false">
      <c r="A30" s="1" t="n">
        <v>6206</v>
      </c>
      <c r="B30" s="0" t="s">
        <v>385</v>
      </c>
      <c r="C30" s="0" t="s">
        <v>388</v>
      </c>
      <c r="H30" s="1" t="e">
        <f aca="false">-((G30*100/F30)-100)</f>
        <v>#DIV/0!</v>
      </c>
      <c r="J30" s="1" t="n">
        <f aca="false">(F30-G30)*I30</f>
        <v>0</v>
      </c>
      <c r="K30" s="1" t="n">
        <f aca="false">G30*I30</f>
        <v>0</v>
      </c>
      <c r="L30" s="1" t="n">
        <v>105</v>
      </c>
      <c r="M30" s="23" t="n">
        <v>105</v>
      </c>
      <c r="N30" s="3" t="s">
        <v>4</v>
      </c>
      <c r="O30" s="23" t="n">
        <v>105</v>
      </c>
      <c r="P30" s="0" t="s">
        <v>29</v>
      </c>
    </row>
    <row r="31" customFormat="false" ht="15" hidden="false" customHeight="false" outlineLevel="0" collapsed="false">
      <c r="A31" s="1"/>
      <c r="H31" s="1"/>
      <c r="J31" s="1"/>
      <c r="K31" s="1" t="n">
        <f aca="false">G31*I31</f>
        <v>0</v>
      </c>
      <c r="L31" s="1"/>
      <c r="M31" s="23"/>
      <c r="N31" s="3"/>
      <c r="O31" s="23"/>
    </row>
    <row r="32" customFormat="false" ht="16.4" hidden="false" customHeight="false" outlineLevel="0" collapsed="false">
      <c r="A32" s="1" t="n">
        <v>6139</v>
      </c>
      <c r="B32" s="0" t="s">
        <v>353</v>
      </c>
      <c r="C32" s="0" t="s">
        <v>130</v>
      </c>
      <c r="D32" s="1" t="s">
        <v>24</v>
      </c>
      <c r="E32" s="0" t="s">
        <v>389</v>
      </c>
      <c r="F32" s="1" t="n">
        <v>3.95</v>
      </c>
      <c r="G32" s="1" t="n">
        <v>3.45</v>
      </c>
      <c r="H32" s="1" t="n">
        <f aca="false">-((G32*100/F32)-100)</f>
        <v>12.6582278481013</v>
      </c>
      <c r="I32" s="33" t="n">
        <v>162</v>
      </c>
      <c r="J32" s="1" t="n">
        <f aca="false">(F32-G32)*I32</f>
        <v>81</v>
      </c>
      <c r="K32" s="1" t="n">
        <f aca="false">G32*I32</f>
        <v>558.9</v>
      </c>
      <c r="M32" s="23" t="n">
        <v>4385</v>
      </c>
      <c r="N32" s="3" t="s">
        <v>4</v>
      </c>
      <c r="O32" s="23" t="n">
        <v>4385</v>
      </c>
      <c r="P32" s="0" t="s">
        <v>26</v>
      </c>
    </row>
    <row r="33" customFormat="false" ht="16.4" hidden="false" customHeight="false" outlineLevel="0" collapsed="false">
      <c r="A33" s="1" t="n">
        <v>6139</v>
      </c>
      <c r="B33" s="0" t="s">
        <v>353</v>
      </c>
      <c r="C33" s="0" t="s">
        <v>390</v>
      </c>
      <c r="D33" s="1"/>
      <c r="F33" s="1"/>
      <c r="G33" s="1"/>
      <c r="H33" s="1" t="e">
        <f aca="false">-((G33*100/F33)-100)</f>
        <v>#DIV/0!</v>
      </c>
      <c r="J33" s="1" t="n">
        <f aca="false">(F33-G33)*I33</f>
        <v>0</v>
      </c>
      <c r="K33" s="1" t="n">
        <f aca="false">G33*I33</f>
        <v>0</v>
      </c>
      <c r="M33" s="23" t="n">
        <v>2138</v>
      </c>
      <c r="N33" s="3" t="s">
        <v>4</v>
      </c>
      <c r="O33" s="23" t="n">
        <v>2138</v>
      </c>
      <c r="P33" s="0" t="s">
        <v>26</v>
      </c>
    </row>
    <row r="34" customFormat="false" ht="16.4" hidden="false" customHeight="false" outlineLevel="0" collapsed="false">
      <c r="A34" s="1" t="n">
        <v>6139</v>
      </c>
      <c r="B34" s="0" t="s">
        <v>353</v>
      </c>
      <c r="C34" s="0" t="s">
        <v>391</v>
      </c>
      <c r="D34" s="1" t="s">
        <v>24</v>
      </c>
      <c r="E34" s="0" t="s">
        <v>389</v>
      </c>
      <c r="F34" s="1" t="n">
        <v>5.66</v>
      </c>
      <c r="G34" s="1" t="n">
        <v>5.36</v>
      </c>
      <c r="H34" s="1" t="n">
        <f aca="false">-((G34*100/F34)-100)</f>
        <v>5.30035335689047</v>
      </c>
      <c r="I34" s="33" t="n">
        <v>162</v>
      </c>
      <c r="J34" s="1" t="n">
        <f aca="false">(F34-G34)*I34</f>
        <v>48.6</v>
      </c>
      <c r="K34" s="1" t="n">
        <f aca="false">G34*I34</f>
        <v>868.32</v>
      </c>
      <c r="M34" s="23" t="n">
        <v>7496</v>
      </c>
      <c r="N34" s="3" t="s">
        <v>4</v>
      </c>
      <c r="O34" s="23" t="n">
        <v>7496</v>
      </c>
      <c r="P34" s="0" t="s">
        <v>26</v>
      </c>
    </row>
    <row r="35" customFormat="false" ht="16.4" hidden="false" customHeight="false" outlineLevel="0" collapsed="false">
      <c r="A35" s="1" t="n">
        <v>6139</v>
      </c>
      <c r="B35" s="0" t="s">
        <v>353</v>
      </c>
      <c r="C35" s="0" t="s">
        <v>42</v>
      </c>
      <c r="D35" s="1" t="s">
        <v>24</v>
      </c>
      <c r="E35" s="0" t="s">
        <v>254</v>
      </c>
      <c r="F35" s="1" t="n">
        <v>1.36</v>
      </c>
      <c r="G35" s="1" t="n">
        <v>1.36</v>
      </c>
      <c r="H35" s="1" t="n">
        <f aca="false">-((G35*100/F35)-100)</f>
        <v>-0</v>
      </c>
      <c r="I35" s="33" t="n">
        <v>264</v>
      </c>
      <c r="J35" s="1" t="n">
        <f aca="false">(F35-G35)*I35</f>
        <v>0</v>
      </c>
      <c r="K35" s="1" t="n">
        <f aca="false">G35*I35</f>
        <v>359.04</v>
      </c>
      <c r="M35" s="23" t="n">
        <v>1701</v>
      </c>
      <c r="N35" s="3" t="s">
        <v>4</v>
      </c>
      <c r="O35" s="23" t="n">
        <v>1701</v>
      </c>
      <c r="P35" s="0" t="s">
        <v>26</v>
      </c>
    </row>
    <row r="36" customFormat="false" ht="16.4" hidden="false" customHeight="false" outlineLevel="0" collapsed="false">
      <c r="A36" s="1" t="n">
        <v>6139</v>
      </c>
      <c r="B36" s="0" t="s">
        <v>353</v>
      </c>
      <c r="C36" s="0" t="s">
        <v>392</v>
      </c>
      <c r="D36" s="1"/>
      <c r="F36" s="1"/>
      <c r="G36" s="1"/>
      <c r="H36" s="1" t="e">
        <f aca="false">-((G36*100/F36)-100)</f>
        <v>#DIV/0!</v>
      </c>
      <c r="J36" s="1" t="n">
        <f aca="false">(F36-G36)*I36</f>
        <v>0</v>
      </c>
      <c r="K36" s="1" t="n">
        <f aca="false">G36*I36</f>
        <v>0</v>
      </c>
      <c r="M36" s="23" t="n">
        <v>448</v>
      </c>
      <c r="N36" s="3" t="s">
        <v>4</v>
      </c>
      <c r="O36" s="23" t="n">
        <v>448</v>
      </c>
      <c r="P36" s="0" t="s">
        <v>26</v>
      </c>
    </row>
    <row r="37" customFormat="false" ht="15" hidden="false" customHeight="false" outlineLevel="0" collapsed="false">
      <c r="A37" s="1"/>
      <c r="D37" s="1"/>
      <c r="F37" s="1"/>
      <c r="G37" s="1"/>
      <c r="H37" s="1"/>
      <c r="J37" s="1"/>
      <c r="K37" s="1" t="n">
        <f aca="false">G37*I37</f>
        <v>0</v>
      </c>
      <c r="M37" s="23"/>
      <c r="N37" s="3"/>
      <c r="O37" s="23"/>
    </row>
    <row r="38" customFormat="false" ht="16.4" hidden="false" customHeight="false" outlineLevel="0" collapsed="false">
      <c r="A38" s="1" t="n">
        <v>6194</v>
      </c>
      <c r="B38" s="0" t="s">
        <v>393</v>
      </c>
      <c r="C38" s="0" t="s">
        <v>130</v>
      </c>
      <c r="D38" s="1" t="s">
        <v>53</v>
      </c>
      <c r="E38" s="0" t="s">
        <v>394</v>
      </c>
      <c r="F38" s="1" t="n">
        <v>9.82</v>
      </c>
      <c r="G38" s="1" t="n">
        <v>9.82</v>
      </c>
      <c r="H38" s="1" t="n">
        <f aca="false">-((G38*100/F38)-100)</f>
        <v>-0</v>
      </c>
      <c r="I38" s="33" t="n">
        <v>570</v>
      </c>
      <c r="J38" s="1" t="n">
        <f aca="false">(F38-G38)*I38</f>
        <v>0</v>
      </c>
      <c r="K38" s="1" t="n">
        <f aca="false">G38*I38</f>
        <v>5597.4</v>
      </c>
      <c r="M38" s="23" t="n">
        <v>18138</v>
      </c>
      <c r="N38" s="3" t="s">
        <v>4</v>
      </c>
      <c r="O38" s="23" t="n">
        <v>18138</v>
      </c>
      <c r="P38" s="0" t="s">
        <v>26</v>
      </c>
    </row>
    <row r="39" customFormat="false" ht="16.4" hidden="false" customHeight="false" outlineLevel="0" collapsed="false">
      <c r="A39" s="1" t="n">
        <v>6194</v>
      </c>
      <c r="B39" s="0" t="s">
        <v>393</v>
      </c>
      <c r="C39" s="0" t="s">
        <v>92</v>
      </c>
      <c r="D39" s="1"/>
      <c r="G39" s="1"/>
      <c r="H39" s="1" t="e">
        <f aca="false">-((G39*100/F39)-100)</f>
        <v>#DIV/0!</v>
      </c>
      <c r="J39" s="1" t="n">
        <f aca="false">(F39-G39)*I39</f>
        <v>0</v>
      </c>
      <c r="K39" s="1" t="n">
        <f aca="false">G39*I39</f>
        <v>0</v>
      </c>
      <c r="M39" s="23" t="n">
        <v>2660</v>
      </c>
      <c r="N39" s="3" t="s">
        <v>4</v>
      </c>
      <c r="O39" s="23" t="n">
        <v>2660</v>
      </c>
      <c r="P39" s="0" t="s">
        <v>26</v>
      </c>
    </row>
    <row r="40" customFormat="false" ht="16.4" hidden="false" customHeight="false" outlineLevel="0" collapsed="false">
      <c r="A40" s="1" t="n">
        <v>6194</v>
      </c>
      <c r="B40" s="0" t="s">
        <v>393</v>
      </c>
      <c r="C40" s="0" t="s">
        <v>42</v>
      </c>
      <c r="E40" s="0" t="s">
        <v>46</v>
      </c>
      <c r="F40" s="1" t="n">
        <v>0.77</v>
      </c>
      <c r="G40" s="1" t="n">
        <v>0</v>
      </c>
      <c r="H40" s="1" t="n">
        <f aca="false">-((G40*100/F40)-100)</f>
        <v>100</v>
      </c>
      <c r="I40" s="33" t="n">
        <v>0</v>
      </c>
      <c r="J40" s="1" t="n">
        <f aca="false">(F40-G40)*I40</f>
        <v>0</v>
      </c>
      <c r="K40" s="1" t="n">
        <f aca="false">G40*I40</f>
        <v>0</v>
      </c>
      <c r="M40" s="23" t="n">
        <v>711</v>
      </c>
      <c r="N40" s="3" t="s">
        <v>4</v>
      </c>
      <c r="O40" s="23" t="n">
        <v>711</v>
      </c>
      <c r="P40" s="0" t="s">
        <v>29</v>
      </c>
    </row>
    <row r="41" customFormat="false" ht="15" hidden="false" customHeight="false" outlineLevel="0" collapsed="false">
      <c r="A41" s="1"/>
      <c r="G41" s="1"/>
      <c r="H41" s="1"/>
      <c r="I41" s="63"/>
      <c r="J41" s="1"/>
      <c r="K41" s="1" t="n">
        <f aca="false">G41*I41</f>
        <v>0</v>
      </c>
      <c r="M41" s="23"/>
      <c r="N41" s="3"/>
      <c r="O41" s="23"/>
    </row>
    <row r="42" customFormat="false" ht="16.4" hidden="false" customHeight="false" outlineLevel="0" collapsed="false">
      <c r="A42" s="1" t="n">
        <v>6157</v>
      </c>
      <c r="B42" s="0" t="s">
        <v>270</v>
      </c>
      <c r="C42" s="0" t="s">
        <v>121</v>
      </c>
      <c r="D42" s="1" t="s">
        <v>53</v>
      </c>
      <c r="E42" s="0" t="s">
        <v>395</v>
      </c>
      <c r="F42" s="1" t="n">
        <v>1.25</v>
      </c>
      <c r="G42" s="1" t="n">
        <v>1.25</v>
      </c>
      <c r="H42" s="1" t="n">
        <f aca="false">-((G42*100/F42)-100)</f>
        <v>-0</v>
      </c>
      <c r="I42" s="33" t="n">
        <v>250</v>
      </c>
      <c r="J42" s="1" t="n">
        <f aca="false">(F42-G42)*I42</f>
        <v>0</v>
      </c>
      <c r="K42" s="1" t="n">
        <f aca="false">G42*I42</f>
        <v>312.5</v>
      </c>
      <c r="M42" s="23" t="n">
        <v>2081</v>
      </c>
      <c r="N42" s="3" t="s">
        <v>4</v>
      </c>
      <c r="O42" s="23" t="n">
        <v>2081</v>
      </c>
      <c r="P42" s="0" t="s">
        <v>29</v>
      </c>
    </row>
    <row r="43" customFormat="false" ht="16.4" hidden="false" customHeight="false" outlineLevel="0" collapsed="false">
      <c r="A43" s="1" t="n">
        <v>6157</v>
      </c>
      <c r="B43" s="0" t="s">
        <v>270</v>
      </c>
      <c r="C43" s="0" t="s">
        <v>57</v>
      </c>
      <c r="D43" s="1" t="s">
        <v>53</v>
      </c>
      <c r="E43" s="0" t="s">
        <v>395</v>
      </c>
      <c r="F43" s="1" t="n">
        <v>0.43</v>
      </c>
      <c r="G43" s="1" t="n">
        <v>0.43</v>
      </c>
      <c r="H43" s="1" t="n">
        <f aca="false">-((G43*100/F43)-100)</f>
        <v>-0</v>
      </c>
      <c r="I43" s="33" t="n">
        <v>250</v>
      </c>
      <c r="J43" s="1" t="n">
        <f aca="false">(F43-G43)*I43</f>
        <v>0</v>
      </c>
      <c r="K43" s="1" t="n">
        <f aca="false">G43*I43</f>
        <v>107.5</v>
      </c>
      <c r="M43" s="23" t="n">
        <v>716</v>
      </c>
      <c r="N43" s="3" t="s">
        <v>4</v>
      </c>
      <c r="O43" s="23" t="n">
        <v>716</v>
      </c>
      <c r="P43" s="0" t="s">
        <v>29</v>
      </c>
    </row>
    <row r="44" customFormat="false" ht="15" hidden="false" customHeight="false" outlineLevel="0" collapsed="false">
      <c r="A44" s="1"/>
      <c r="D44" s="1"/>
      <c r="F44" s="1"/>
      <c r="G44" s="1"/>
      <c r="H44" s="1"/>
      <c r="I44" s="1"/>
      <c r="J44" s="1"/>
      <c r="K44" s="1" t="n">
        <f aca="false">G44*I44</f>
        <v>0</v>
      </c>
      <c r="M44" s="23"/>
      <c r="N44" s="3"/>
      <c r="O44" s="23"/>
    </row>
    <row r="45" customFormat="false" ht="16.4" hidden="false" customHeight="false" outlineLevel="0" collapsed="false">
      <c r="A45" s="1" t="n">
        <v>6204</v>
      </c>
      <c r="B45" s="0" t="s">
        <v>396</v>
      </c>
      <c r="C45" s="0" t="s">
        <v>55</v>
      </c>
      <c r="D45" s="1" t="s">
        <v>53</v>
      </c>
      <c r="E45" s="0" t="s">
        <v>397</v>
      </c>
      <c r="F45" s="1" t="n">
        <v>5.38</v>
      </c>
      <c r="G45" s="1" t="n">
        <v>5.38</v>
      </c>
      <c r="H45" s="1" t="n">
        <f aca="false">-((G45*100/F45)-100)</f>
        <v>-0</v>
      </c>
      <c r="I45" s="33" t="n">
        <v>540</v>
      </c>
      <c r="J45" s="1" t="n">
        <f aca="false">(F45-G45)*I45</f>
        <v>0</v>
      </c>
      <c r="K45" s="1" t="n">
        <f aca="false">G45*I45</f>
        <v>2905.2</v>
      </c>
      <c r="M45" s="23" t="n">
        <v>8392</v>
      </c>
      <c r="N45" s="3" t="s">
        <v>4</v>
      </c>
      <c r="O45" s="23" t="n">
        <v>8392</v>
      </c>
      <c r="P45" s="0" t="s">
        <v>29</v>
      </c>
    </row>
    <row r="46" customFormat="false" ht="16.4" hidden="false" customHeight="false" outlineLevel="0" collapsed="false">
      <c r="A46" s="1" t="n">
        <v>6204</v>
      </c>
      <c r="B46" s="0" t="s">
        <v>396</v>
      </c>
      <c r="C46" s="0" t="s">
        <v>67</v>
      </c>
      <c r="D46" s="1" t="s">
        <v>53</v>
      </c>
      <c r="E46" s="0" t="s">
        <v>397</v>
      </c>
      <c r="F46" s="1" t="n">
        <v>2.43</v>
      </c>
      <c r="G46" s="1" t="n">
        <v>2.43</v>
      </c>
      <c r="H46" s="1" t="n">
        <f aca="false">-((G46*100/F46)-100)</f>
        <v>-0</v>
      </c>
      <c r="I46" s="33" t="n">
        <v>540</v>
      </c>
      <c r="J46" s="1" t="n">
        <f aca="false">(F46-G46)*I46</f>
        <v>0</v>
      </c>
      <c r="K46" s="1" t="n">
        <f aca="false">G46*I46</f>
        <v>1312.2</v>
      </c>
      <c r="M46" s="23" t="n">
        <v>3790</v>
      </c>
      <c r="N46" s="3" t="s">
        <v>4</v>
      </c>
      <c r="O46" s="23" t="n">
        <v>3790</v>
      </c>
      <c r="P46" s="0" t="s">
        <v>29</v>
      </c>
    </row>
    <row r="47" customFormat="false" ht="16.4" hidden="false" customHeight="false" outlineLevel="0" collapsed="false">
      <c r="A47" s="1" t="n">
        <v>6204</v>
      </c>
      <c r="B47" s="0" t="s">
        <v>396</v>
      </c>
      <c r="C47" s="0" t="s">
        <v>45</v>
      </c>
      <c r="D47" s="1" t="s">
        <v>53</v>
      </c>
      <c r="E47" s="0" t="s">
        <v>397</v>
      </c>
      <c r="F47" s="1" t="n">
        <v>1.12</v>
      </c>
      <c r="G47" s="1" t="n">
        <v>1.12</v>
      </c>
      <c r="H47" s="1" t="n">
        <f aca="false">-((G47*100/F47)-100)</f>
        <v>-0</v>
      </c>
      <c r="I47" s="33" t="n">
        <v>540</v>
      </c>
      <c r="J47" s="1" t="n">
        <f aca="false">(F47-G47)*I47</f>
        <v>0</v>
      </c>
      <c r="K47" s="1" t="n">
        <f aca="false">G47*I47</f>
        <v>604.8</v>
      </c>
      <c r="M47" s="23" t="n">
        <v>1747</v>
      </c>
      <c r="N47" s="3" t="s">
        <v>4</v>
      </c>
      <c r="O47" s="23" t="n">
        <v>1747</v>
      </c>
      <c r="P47" s="0" t="s">
        <v>29</v>
      </c>
    </row>
    <row r="48" customFormat="false" ht="15" hidden="false" customHeight="false" outlineLevel="0" collapsed="false">
      <c r="A48" s="1"/>
      <c r="D48" s="1"/>
      <c r="F48" s="1"/>
      <c r="G48" s="1"/>
      <c r="H48" s="1"/>
      <c r="I48" s="1"/>
      <c r="J48" s="1"/>
      <c r="K48" s="1" t="n">
        <f aca="false">G48*I48</f>
        <v>0</v>
      </c>
      <c r="M48" s="23"/>
      <c r="N48" s="3"/>
      <c r="O48" s="23"/>
    </row>
    <row r="49" customFormat="false" ht="16.4" hidden="false" customHeight="false" outlineLevel="0" collapsed="false">
      <c r="A49" s="1" t="n">
        <v>6205</v>
      </c>
      <c r="B49" s="0" t="s">
        <v>398</v>
      </c>
      <c r="C49" s="0" t="s">
        <v>399</v>
      </c>
      <c r="D49" s="1" t="s">
        <v>24</v>
      </c>
      <c r="E49" s="0" t="s">
        <v>28</v>
      </c>
      <c r="F49" s="1" t="n">
        <v>0.62</v>
      </c>
      <c r="G49" s="1" t="n">
        <v>0.62</v>
      </c>
      <c r="H49" s="1" t="n">
        <f aca="false">-((G49*100/F49)-100)</f>
        <v>-0</v>
      </c>
      <c r="I49" s="33" t="n">
        <v>228</v>
      </c>
      <c r="J49" s="1" t="n">
        <f aca="false">(F49-G49)*I49</f>
        <v>0</v>
      </c>
      <c r="K49" s="1" t="n">
        <f aca="false">G49*I49</f>
        <v>141.36</v>
      </c>
      <c r="M49" s="23" t="n">
        <v>783</v>
      </c>
      <c r="N49" s="3" t="s">
        <v>4</v>
      </c>
      <c r="O49" s="23" t="n">
        <v>783</v>
      </c>
      <c r="P49" s="0" t="s">
        <v>26</v>
      </c>
    </row>
    <row r="50" customFormat="false" ht="15" hidden="false" customHeight="false" outlineLevel="0" collapsed="false">
      <c r="A50" s="1"/>
      <c r="D50" s="1"/>
      <c r="F50" s="1"/>
      <c r="G50" s="1"/>
      <c r="H50" s="1"/>
      <c r="I50" s="1"/>
      <c r="J50" s="1"/>
      <c r="K50" s="1" t="n">
        <f aca="false">G50*I50</f>
        <v>0</v>
      </c>
      <c r="M50" s="23"/>
      <c r="N50" s="3"/>
      <c r="O50" s="23"/>
    </row>
    <row r="51" customFormat="false" ht="16.4" hidden="false" customHeight="false" outlineLevel="0" collapsed="false">
      <c r="A51" s="1" t="n">
        <v>6203</v>
      </c>
      <c r="B51" s="0" t="s">
        <v>44</v>
      </c>
      <c r="C51" s="0" t="s">
        <v>400</v>
      </c>
      <c r="E51" s="0" t="s">
        <v>401</v>
      </c>
      <c r="F51" s="1" t="n">
        <v>9.81</v>
      </c>
      <c r="G51" s="1" t="n">
        <v>0</v>
      </c>
      <c r="H51" s="1" t="n">
        <f aca="false">-((G51*100/F51)-100)</f>
        <v>100</v>
      </c>
      <c r="I51" s="33" t="n">
        <v>0</v>
      </c>
      <c r="J51" s="1" t="n">
        <f aca="false">(F51-G51)*I51</f>
        <v>0</v>
      </c>
      <c r="K51" s="1" t="n">
        <f aca="false">G51*I51</f>
        <v>0</v>
      </c>
      <c r="M51" s="23" t="n">
        <v>8645</v>
      </c>
      <c r="N51" s="3" t="s">
        <v>4</v>
      </c>
      <c r="O51" s="23" t="n">
        <v>8645</v>
      </c>
      <c r="P51" s="0" t="s">
        <v>26</v>
      </c>
    </row>
    <row r="52" customFormat="false" ht="15" hidden="false" customHeight="false" outlineLevel="0" collapsed="false">
      <c r="A52" s="1"/>
      <c r="F52" s="1"/>
      <c r="G52" s="1"/>
      <c r="H52" s="1"/>
      <c r="I52" s="1"/>
      <c r="J52" s="1"/>
      <c r="K52" s="1" t="n">
        <f aca="false">G52*I52</f>
        <v>0</v>
      </c>
      <c r="M52" s="23"/>
      <c r="N52" s="3"/>
      <c r="O52" s="23"/>
    </row>
    <row r="53" customFormat="false" ht="16.4" hidden="false" customHeight="false" outlineLevel="0" collapsed="false">
      <c r="A53" s="1" t="n">
        <v>6199</v>
      </c>
      <c r="B53" s="0" t="s">
        <v>402</v>
      </c>
      <c r="C53" s="0" t="s">
        <v>166</v>
      </c>
      <c r="D53" s="1" t="s">
        <v>53</v>
      </c>
      <c r="E53" s="0" t="s">
        <v>54</v>
      </c>
      <c r="F53" s="1" t="n">
        <v>0.84</v>
      </c>
      <c r="G53" s="1" t="n">
        <v>0.84</v>
      </c>
      <c r="H53" s="1" t="n">
        <f aca="false">-((G53*100/F53)-100)</f>
        <v>-0</v>
      </c>
      <c r="I53" s="33" t="n">
        <v>825</v>
      </c>
      <c r="J53" s="1" t="n">
        <f aca="false">(F53-G53)*I53</f>
        <v>0</v>
      </c>
      <c r="K53" s="1" t="n">
        <f aca="false">G53*I53</f>
        <v>693</v>
      </c>
      <c r="M53" s="23" t="n">
        <v>1782</v>
      </c>
      <c r="N53" s="3" t="s">
        <v>4</v>
      </c>
      <c r="O53" s="23" t="n">
        <v>1782</v>
      </c>
      <c r="P53" s="2" t="s">
        <v>403</v>
      </c>
    </row>
    <row r="54" customFormat="false" ht="16.4" hidden="false" customHeight="false" outlineLevel="0" collapsed="false">
      <c r="A54" s="1" t="n">
        <v>6199</v>
      </c>
      <c r="B54" s="0" t="s">
        <v>402</v>
      </c>
      <c r="C54" s="0" t="s">
        <v>206</v>
      </c>
      <c r="D54" s="1" t="s">
        <v>53</v>
      </c>
      <c r="E54" s="0" t="s">
        <v>54</v>
      </c>
      <c r="F54" s="1" t="n">
        <v>0.15</v>
      </c>
      <c r="G54" s="1" t="n">
        <v>0.15</v>
      </c>
      <c r="H54" s="1" t="n">
        <f aca="false">-((G54*100/F54)-100)</f>
        <v>-0</v>
      </c>
      <c r="I54" s="33" t="n">
        <v>825</v>
      </c>
      <c r="J54" s="1" t="n">
        <f aca="false">(F54-G54)*I54</f>
        <v>0</v>
      </c>
      <c r="K54" s="1" t="n">
        <f aca="false">G54*I54</f>
        <v>123.75</v>
      </c>
      <c r="M54" s="23" t="n">
        <v>318</v>
      </c>
      <c r="N54" s="3" t="s">
        <v>4</v>
      </c>
      <c r="O54" s="23" t="n">
        <v>318</v>
      </c>
      <c r="P54" s="2" t="s">
        <v>403</v>
      </c>
    </row>
    <row r="55" customFormat="false" ht="16.4" hidden="false" customHeight="false" outlineLevel="0" collapsed="false">
      <c r="A55" s="1" t="n">
        <v>6199</v>
      </c>
      <c r="B55" s="0" t="s">
        <v>402</v>
      </c>
      <c r="C55" s="0" t="s">
        <v>238</v>
      </c>
      <c r="D55" s="1" t="s">
        <v>53</v>
      </c>
      <c r="E55" s="0" t="s">
        <v>54</v>
      </c>
      <c r="F55" s="1" t="n">
        <v>1.06</v>
      </c>
      <c r="G55" s="1" t="n">
        <v>1.06</v>
      </c>
      <c r="H55" s="1" t="n">
        <f aca="false">-((G55*100/F55)-100)</f>
        <v>-0</v>
      </c>
      <c r="I55" s="33" t="n">
        <v>825</v>
      </c>
      <c r="J55" s="1" t="n">
        <f aca="false">(F55-G55)*I55</f>
        <v>0</v>
      </c>
      <c r="K55" s="1" t="n">
        <f aca="false">G55*I55</f>
        <v>874.5</v>
      </c>
      <c r="M55" s="23" t="n">
        <v>2247</v>
      </c>
      <c r="N55" s="3" t="s">
        <v>4</v>
      </c>
      <c r="O55" s="23" t="n">
        <v>2247</v>
      </c>
      <c r="P55" s="2" t="s">
        <v>403</v>
      </c>
    </row>
    <row r="56" customFormat="false" ht="16.4" hidden="false" customHeight="false" outlineLevel="0" collapsed="false">
      <c r="A56" s="1" t="n">
        <v>6199</v>
      </c>
      <c r="B56" s="0" t="s">
        <v>402</v>
      </c>
      <c r="C56" s="0" t="s">
        <v>57</v>
      </c>
      <c r="D56" s="1" t="s">
        <v>53</v>
      </c>
      <c r="E56" s="0" t="s">
        <v>54</v>
      </c>
      <c r="F56" s="1" t="n">
        <v>0.96</v>
      </c>
      <c r="G56" s="1" t="n">
        <v>0.96</v>
      </c>
      <c r="H56" s="1" t="n">
        <f aca="false">-((G56*100/F56)-100)</f>
        <v>-0</v>
      </c>
      <c r="I56" s="33" t="n">
        <v>825</v>
      </c>
      <c r="J56" s="1" t="n">
        <f aca="false">(F56-G56)*I56</f>
        <v>0</v>
      </c>
      <c r="K56" s="1" t="n">
        <f aca="false">G56*I56</f>
        <v>792</v>
      </c>
      <c r="M56" s="23" t="n">
        <v>1980</v>
      </c>
      <c r="N56" s="3" t="s">
        <v>4</v>
      </c>
      <c r="O56" s="23" t="n">
        <v>1980</v>
      </c>
      <c r="P56" s="2" t="s">
        <v>403</v>
      </c>
    </row>
    <row r="57" customFormat="false" ht="16.4" hidden="false" customHeight="false" outlineLevel="0" collapsed="false">
      <c r="A57" s="1" t="n">
        <v>6199</v>
      </c>
      <c r="B57" s="0" t="s">
        <v>402</v>
      </c>
      <c r="C57" s="0" t="s">
        <v>206</v>
      </c>
      <c r="D57" s="1" t="s">
        <v>53</v>
      </c>
      <c r="E57" s="0" t="s">
        <v>54</v>
      </c>
      <c r="F57" s="1" t="n">
        <v>0.15</v>
      </c>
      <c r="G57" s="1" t="n">
        <v>0.15</v>
      </c>
      <c r="H57" s="1" t="n">
        <f aca="false">-((G57*100/F57)-100)</f>
        <v>-0</v>
      </c>
      <c r="I57" s="33" t="n">
        <v>825</v>
      </c>
      <c r="J57" s="1" t="n">
        <f aca="false">(F57-G57)*I57</f>
        <v>0</v>
      </c>
      <c r="K57" s="1" t="n">
        <f aca="false">G57*I57</f>
        <v>123.75</v>
      </c>
      <c r="M57" s="23" t="n">
        <v>318</v>
      </c>
      <c r="N57" s="3" t="s">
        <v>4</v>
      </c>
      <c r="O57" s="23" t="n">
        <v>318</v>
      </c>
      <c r="P57" s="2" t="s">
        <v>403</v>
      </c>
    </row>
    <row r="58" customFormat="false" ht="16.4" hidden="false" customHeight="false" outlineLevel="0" collapsed="false">
      <c r="A58" s="1" t="n">
        <v>6199</v>
      </c>
      <c r="B58" s="0" t="s">
        <v>402</v>
      </c>
      <c r="C58" s="0" t="s">
        <v>34</v>
      </c>
      <c r="D58" s="1" t="s">
        <v>53</v>
      </c>
      <c r="E58" s="0" t="s">
        <v>54</v>
      </c>
      <c r="F58" s="1" t="n">
        <v>0.32</v>
      </c>
      <c r="G58" s="1" t="n">
        <v>0.32</v>
      </c>
      <c r="H58" s="1" t="n">
        <f aca="false">-((G58*100/F58)-100)</f>
        <v>-0</v>
      </c>
      <c r="I58" s="33" t="n">
        <v>825</v>
      </c>
      <c r="J58" s="1" t="n">
        <f aca="false">(F58-G58)*I58</f>
        <v>0</v>
      </c>
      <c r="K58" s="1" t="n">
        <f aca="false">G58*I58</f>
        <v>264</v>
      </c>
      <c r="M58" s="23" t="n">
        <v>596</v>
      </c>
      <c r="N58" s="3" t="s">
        <v>4</v>
      </c>
      <c r="O58" s="23" t="n">
        <v>596</v>
      </c>
      <c r="P58" s="2" t="s">
        <v>403</v>
      </c>
    </row>
    <row r="59" customFormat="false" ht="16.4" hidden="false" customHeight="false" outlineLevel="0" collapsed="false">
      <c r="A59" s="1" t="n">
        <v>6199</v>
      </c>
      <c r="B59" s="0" t="s">
        <v>402</v>
      </c>
      <c r="C59" s="0" t="s">
        <v>404</v>
      </c>
      <c r="D59" s="1" t="s">
        <v>53</v>
      </c>
      <c r="E59" s="0" t="s">
        <v>405</v>
      </c>
      <c r="F59" s="1" t="n">
        <v>1.53</v>
      </c>
      <c r="G59" s="1" t="n">
        <v>1.53</v>
      </c>
      <c r="H59" s="1" t="n">
        <f aca="false">-((G59*100/F59)-100)</f>
        <v>-0</v>
      </c>
      <c r="I59" s="33" t="n">
        <v>880</v>
      </c>
      <c r="J59" s="1" t="n">
        <f aca="false">(F59-G59)*I59</f>
        <v>0</v>
      </c>
      <c r="K59" s="1" t="n">
        <f aca="false">G59*I59</f>
        <v>1346.4</v>
      </c>
      <c r="M59" s="23" t="n">
        <v>3987</v>
      </c>
      <c r="N59" s="3" t="s">
        <v>4</v>
      </c>
      <c r="O59" s="23" t="n">
        <v>3987</v>
      </c>
      <c r="P59" s="2" t="s">
        <v>403</v>
      </c>
    </row>
    <row r="60" customFormat="false" ht="16.4" hidden="false" customHeight="false" outlineLevel="0" collapsed="false">
      <c r="A60" s="1" t="n">
        <v>6199</v>
      </c>
      <c r="B60" s="0" t="s">
        <v>402</v>
      </c>
      <c r="C60" s="0" t="s">
        <v>57</v>
      </c>
      <c r="D60" s="1" t="s">
        <v>53</v>
      </c>
      <c r="E60" s="0" t="s">
        <v>405</v>
      </c>
      <c r="F60" s="1" t="n">
        <v>0.62</v>
      </c>
      <c r="G60" s="1" t="n">
        <v>0.62</v>
      </c>
      <c r="H60" s="1" t="n">
        <f aca="false">-((G60*100/F60)-100)</f>
        <v>-0</v>
      </c>
      <c r="I60" s="33" t="n">
        <v>880</v>
      </c>
      <c r="J60" s="1" t="n">
        <f aca="false">(F60-G60)*I60</f>
        <v>0</v>
      </c>
      <c r="K60" s="1" t="n">
        <f aca="false">G60*I60</f>
        <v>545.6</v>
      </c>
      <c r="M60" s="23" t="n">
        <v>1634</v>
      </c>
      <c r="N60" s="3" t="s">
        <v>4</v>
      </c>
      <c r="O60" s="23" t="n">
        <v>1634</v>
      </c>
      <c r="P60" s="2" t="s">
        <v>403</v>
      </c>
    </row>
    <row r="61" customFormat="false" ht="16.4" hidden="false" customHeight="false" outlineLevel="0" collapsed="false">
      <c r="A61" s="1" t="n">
        <v>6199</v>
      </c>
      <c r="B61" s="0" t="s">
        <v>402</v>
      </c>
      <c r="C61" s="0" t="s">
        <v>206</v>
      </c>
      <c r="D61" s="1" t="s">
        <v>53</v>
      </c>
      <c r="E61" s="0" t="s">
        <v>405</v>
      </c>
      <c r="F61" s="1" t="n">
        <v>0.25</v>
      </c>
      <c r="G61" s="1" t="n">
        <v>0.25</v>
      </c>
      <c r="H61" s="1" t="n">
        <f aca="false">-((G61*100/F61)-100)</f>
        <v>-0</v>
      </c>
      <c r="I61" s="33" t="n">
        <v>880</v>
      </c>
      <c r="J61" s="1" t="n">
        <f aca="false">(F61-G61)*I61</f>
        <v>0</v>
      </c>
      <c r="K61" s="1" t="n">
        <f aca="false">G61*I61</f>
        <v>220</v>
      </c>
      <c r="M61" s="23" t="n">
        <v>658</v>
      </c>
      <c r="N61" s="3" t="s">
        <v>4</v>
      </c>
      <c r="O61" s="23" t="n">
        <v>658</v>
      </c>
      <c r="P61" s="2" t="s">
        <v>403</v>
      </c>
    </row>
    <row r="62" customFormat="false" ht="15" hidden="false" customHeight="false" outlineLevel="0" collapsed="false">
      <c r="A62" s="1"/>
      <c r="D62" s="1"/>
      <c r="F62" s="1"/>
      <c r="G62" s="1"/>
      <c r="H62" s="1"/>
      <c r="I62" s="1"/>
      <c r="J62" s="1"/>
      <c r="K62" s="1" t="n">
        <f aca="false">G62*I62</f>
        <v>0</v>
      </c>
      <c r="M62" s="23"/>
      <c r="N62" s="3"/>
      <c r="O62" s="23"/>
      <c r="P62" s="2"/>
    </row>
    <row r="63" customFormat="false" ht="16.4" hidden="false" customHeight="false" outlineLevel="0" collapsed="false">
      <c r="A63" s="1" t="n">
        <v>6172</v>
      </c>
      <c r="B63" s="0" t="s">
        <v>406</v>
      </c>
      <c r="C63" s="0" t="s">
        <v>55</v>
      </c>
      <c r="D63" s="1" t="s">
        <v>37</v>
      </c>
      <c r="E63" s="0" t="s">
        <v>143</v>
      </c>
      <c r="F63" s="1" t="n">
        <v>9.66</v>
      </c>
      <c r="G63" s="1" t="n">
        <v>9.66</v>
      </c>
      <c r="H63" s="1" t="n">
        <f aca="false">-((G63*100/F63)-100)</f>
        <v>-0</v>
      </c>
      <c r="I63" s="33" t="n">
        <v>420</v>
      </c>
      <c r="J63" s="1" t="n">
        <f aca="false">(F63-G63)*I63</f>
        <v>0</v>
      </c>
      <c r="K63" s="1" t="n">
        <f aca="false">G63*I63</f>
        <v>4057.2</v>
      </c>
      <c r="M63" s="23" t="n">
        <v>14990</v>
      </c>
      <c r="N63" s="3" t="s">
        <v>4</v>
      </c>
      <c r="O63" s="23" t="n">
        <v>14990</v>
      </c>
      <c r="P63" s="2" t="s">
        <v>26</v>
      </c>
    </row>
    <row r="64" customFormat="false" ht="15" hidden="false" customHeight="false" outlineLevel="0" collapsed="false">
      <c r="A64" s="1"/>
      <c r="D64" s="1"/>
      <c r="F64" s="1"/>
      <c r="G64" s="1"/>
      <c r="H64" s="1"/>
      <c r="I64" s="1"/>
      <c r="J64" s="1"/>
      <c r="K64" s="1" t="n">
        <f aca="false">G64*I64</f>
        <v>0</v>
      </c>
      <c r="M64" s="23"/>
      <c r="N64" s="3"/>
      <c r="O64" s="23"/>
      <c r="P64" s="2"/>
    </row>
    <row r="65" customFormat="false" ht="16.4" hidden="false" customHeight="false" outlineLevel="0" collapsed="false">
      <c r="A65" s="1" t="n">
        <v>6196</v>
      </c>
      <c r="B65" s="0" t="s">
        <v>407</v>
      </c>
      <c r="C65" s="0" t="s">
        <v>110</v>
      </c>
      <c r="D65" s="1" t="s">
        <v>53</v>
      </c>
      <c r="E65" s="0" t="s">
        <v>68</v>
      </c>
      <c r="F65" s="1" t="n">
        <v>16.22</v>
      </c>
      <c r="G65" s="1" t="n">
        <v>16.22</v>
      </c>
      <c r="H65" s="1" t="n">
        <f aca="false">-((G65*100/F65)-100)</f>
        <v>-0</v>
      </c>
      <c r="I65" s="33" t="n">
        <v>582</v>
      </c>
      <c r="J65" s="1" t="n">
        <f aca="false">(F65-G65)*I65</f>
        <v>0</v>
      </c>
      <c r="K65" s="1" t="n">
        <f aca="false">G65*I65</f>
        <v>9440.04</v>
      </c>
      <c r="M65" s="23" t="n">
        <v>25910</v>
      </c>
      <c r="N65" s="3" t="s">
        <v>4</v>
      </c>
      <c r="O65" s="23" t="n">
        <v>25910</v>
      </c>
      <c r="P65" s="2" t="s">
        <v>29</v>
      </c>
    </row>
    <row r="66" customFormat="false" ht="16.4" hidden="false" customHeight="false" outlineLevel="0" collapsed="false">
      <c r="A66" s="1" t="n">
        <v>6196</v>
      </c>
      <c r="B66" s="0" t="s">
        <v>407</v>
      </c>
      <c r="C66" s="0" t="s">
        <v>408</v>
      </c>
      <c r="D66" s="1" t="s">
        <v>53</v>
      </c>
      <c r="E66" s="0" t="s">
        <v>68</v>
      </c>
      <c r="F66" s="1" t="n">
        <v>1.96</v>
      </c>
      <c r="G66" s="1" t="n">
        <v>1.96</v>
      </c>
      <c r="H66" s="1" t="n">
        <f aca="false">-((G66*100/F66)-100)</f>
        <v>-0</v>
      </c>
      <c r="I66" s="33" t="n">
        <v>582</v>
      </c>
      <c r="J66" s="1" t="n">
        <f aca="false">(F66-G66)*I66</f>
        <v>0</v>
      </c>
      <c r="K66" s="1" t="n">
        <f aca="false">G66*I66</f>
        <v>1140.72</v>
      </c>
      <c r="M66" s="23" t="n">
        <v>2212</v>
      </c>
      <c r="N66" s="3" t="s">
        <v>4</v>
      </c>
      <c r="O66" s="23" t="n">
        <v>2212</v>
      </c>
      <c r="P66" s="2" t="s">
        <v>29</v>
      </c>
    </row>
    <row r="67" customFormat="false" ht="15" hidden="false" customHeight="false" outlineLevel="0" collapsed="false">
      <c r="A67" s="1"/>
      <c r="D67" s="1"/>
      <c r="F67" s="1"/>
      <c r="G67" s="1"/>
      <c r="H67" s="1"/>
      <c r="I67" s="1"/>
      <c r="J67" s="1"/>
      <c r="K67" s="1" t="n">
        <f aca="false">G67*I67</f>
        <v>0</v>
      </c>
      <c r="M67" s="23"/>
      <c r="N67" s="3"/>
      <c r="O67" s="23"/>
      <c r="P67" s="2"/>
    </row>
    <row r="68" customFormat="false" ht="16.4" hidden="false" customHeight="false" outlineLevel="0" collapsed="false">
      <c r="A68" s="1" t="n">
        <v>0</v>
      </c>
      <c r="B68" s="0" t="s">
        <v>363</v>
      </c>
      <c r="C68" s="0" t="s">
        <v>90</v>
      </c>
      <c r="D68" s="1" t="s">
        <v>53</v>
      </c>
      <c r="E68" s="0" t="s">
        <v>68</v>
      </c>
      <c r="F68" s="1" t="n">
        <v>1.08</v>
      </c>
      <c r="G68" s="1" t="n">
        <v>1.08</v>
      </c>
      <c r="H68" s="1" t="n">
        <f aca="false">-((G68*100/F68)-100)</f>
        <v>-0</v>
      </c>
      <c r="I68" s="33" t="n">
        <v>816</v>
      </c>
      <c r="J68" s="1" t="n">
        <f aca="false">(F68-G68)*I68</f>
        <v>0</v>
      </c>
      <c r="K68" s="1" t="n">
        <f aca="false">G68*I68</f>
        <v>881.28</v>
      </c>
      <c r="M68" s="23" t="n">
        <v>1614</v>
      </c>
      <c r="N68" s="3" t="s">
        <v>4</v>
      </c>
      <c r="O68" s="23" t="n">
        <v>1614</v>
      </c>
      <c r="P68" s="0" t="s">
        <v>29</v>
      </c>
    </row>
    <row r="69" customFormat="false" ht="16.4" hidden="false" customHeight="false" outlineLevel="0" collapsed="false">
      <c r="A69" s="1" t="n">
        <v>0</v>
      </c>
      <c r="B69" s="0" t="s">
        <v>363</v>
      </c>
      <c r="C69" s="0" t="s">
        <v>89</v>
      </c>
      <c r="D69" s="1" t="s">
        <v>37</v>
      </c>
      <c r="E69" s="0" t="s">
        <v>364</v>
      </c>
      <c r="F69" s="1" t="n">
        <v>0.66</v>
      </c>
      <c r="G69" s="1" t="n">
        <v>0.66</v>
      </c>
      <c r="H69" s="1" t="n">
        <f aca="false">-((G69*100/F69)-100)</f>
        <v>-0</v>
      </c>
      <c r="I69" s="33" t="n">
        <v>405</v>
      </c>
      <c r="J69" s="1" t="n">
        <f aca="false">(F69-G69)*I69</f>
        <v>0</v>
      </c>
      <c r="K69" s="1" t="n">
        <f aca="false">G69*I69</f>
        <v>267.3</v>
      </c>
      <c r="M69" s="23" t="n">
        <v>985</v>
      </c>
      <c r="N69" s="3" t="s">
        <v>4</v>
      </c>
      <c r="O69" s="23" t="n">
        <v>985</v>
      </c>
      <c r="P69" s="0" t="s">
        <v>29</v>
      </c>
    </row>
    <row r="70" customFormat="false" ht="15" hidden="false" customHeight="false" outlineLevel="0" collapsed="false">
      <c r="A70" s="1"/>
      <c r="D70" s="1"/>
      <c r="F70" s="1"/>
      <c r="G70" s="1"/>
      <c r="H70" s="1"/>
      <c r="I70" s="1"/>
      <c r="J70" s="1"/>
      <c r="K70" s="1" t="n">
        <f aca="false">G70*I70</f>
        <v>0</v>
      </c>
      <c r="M70" s="23"/>
      <c r="N70" s="3"/>
      <c r="O70" s="23"/>
    </row>
    <row r="71" customFormat="false" ht="16.4" hidden="false" customHeight="false" outlineLevel="0" collapsed="false">
      <c r="A71" s="1" t="n">
        <v>6215</v>
      </c>
      <c r="B71" s="0" t="s">
        <v>409</v>
      </c>
      <c r="C71" s="0" t="s">
        <v>410</v>
      </c>
      <c r="D71" s="1" t="s">
        <v>24</v>
      </c>
      <c r="E71" s="0" t="s">
        <v>411</v>
      </c>
      <c r="F71" s="1" t="n">
        <v>4.9</v>
      </c>
      <c r="G71" s="1" t="n">
        <v>4.9</v>
      </c>
      <c r="H71" s="1" t="n">
        <f aca="false">-((G71*100/F71)-100)</f>
        <v>-0</v>
      </c>
      <c r="I71" s="33" t="n">
        <v>185</v>
      </c>
      <c r="J71" s="1" t="n">
        <f aca="false">(F71-G71)*I71</f>
        <v>0</v>
      </c>
      <c r="K71" s="1" t="n">
        <f aca="false">G71*I71</f>
        <v>906.5</v>
      </c>
      <c r="M71" s="23" t="n">
        <v>5881</v>
      </c>
      <c r="N71" s="3" t="s">
        <v>4</v>
      </c>
      <c r="O71" s="23" t="n">
        <v>5881</v>
      </c>
      <c r="P71" s="0" t="s">
        <v>412</v>
      </c>
    </row>
    <row r="72" customFormat="false" ht="15" hidden="false" customHeight="false" outlineLevel="0" collapsed="false">
      <c r="A72" s="1"/>
      <c r="D72" s="1"/>
      <c r="F72" s="1"/>
      <c r="G72" s="1"/>
      <c r="H72" s="1"/>
      <c r="I72" s="1"/>
      <c r="J72" s="1"/>
      <c r="K72" s="1" t="n">
        <f aca="false">G72*I72</f>
        <v>0</v>
      </c>
      <c r="M72" s="23"/>
      <c r="N72" s="3"/>
      <c r="O72" s="23"/>
    </row>
    <row r="73" customFormat="false" ht="16.4" hidden="false" customHeight="false" outlineLevel="0" collapsed="false">
      <c r="A73" s="1" t="n">
        <v>6202</v>
      </c>
      <c r="B73" s="0" t="s">
        <v>155</v>
      </c>
      <c r="C73" s="0" t="s">
        <v>328</v>
      </c>
      <c r="D73" s="1" t="s">
        <v>24</v>
      </c>
      <c r="E73" s="0" t="s">
        <v>28</v>
      </c>
      <c r="F73" s="1" t="n">
        <v>1.94</v>
      </c>
      <c r="G73" s="1" t="n">
        <v>1.94</v>
      </c>
      <c r="H73" s="1" t="n">
        <f aca="false">-((G73*100/F73)-100)</f>
        <v>-0</v>
      </c>
      <c r="I73" s="33" t="n">
        <v>228</v>
      </c>
      <c r="J73" s="1" t="n">
        <f aca="false">(F73-G73)*I73</f>
        <v>0</v>
      </c>
      <c r="K73" s="1" t="n">
        <f aca="false">G73*I73</f>
        <v>442.32</v>
      </c>
      <c r="M73" s="23" t="n">
        <v>2304</v>
      </c>
      <c r="N73" s="3" t="s">
        <v>4</v>
      </c>
      <c r="O73" s="23" t="n">
        <v>2304</v>
      </c>
      <c r="P73" s="0" t="s">
        <v>26</v>
      </c>
    </row>
    <row r="74" customFormat="false" ht="15" hidden="false" customHeight="false" outlineLevel="0" collapsed="false">
      <c r="A74" s="1"/>
      <c r="D74" s="1"/>
      <c r="F74" s="1"/>
      <c r="G74" s="1"/>
      <c r="H74" s="1"/>
      <c r="I74" s="1"/>
      <c r="J74" s="1"/>
      <c r="K74" s="1" t="n">
        <f aca="false">G74*I74</f>
        <v>0</v>
      </c>
      <c r="M74" s="23"/>
      <c r="N74" s="3"/>
      <c r="O74" s="23"/>
    </row>
    <row r="75" customFormat="false" ht="16.4" hidden="false" customHeight="false" outlineLevel="0" collapsed="false">
      <c r="A75" s="1" t="n">
        <v>6212</v>
      </c>
      <c r="B75" s="0" t="s">
        <v>413</v>
      </c>
      <c r="C75" s="0" t="s">
        <v>42</v>
      </c>
      <c r="D75" s="1" t="s">
        <v>37</v>
      </c>
      <c r="E75" s="0" t="s">
        <v>38</v>
      </c>
      <c r="F75" s="1" t="n">
        <v>1.84</v>
      </c>
      <c r="G75" s="1" t="n">
        <v>1.84</v>
      </c>
      <c r="H75" s="1" t="n">
        <f aca="false">-((G75*100/F75)-100)</f>
        <v>-0</v>
      </c>
      <c r="I75" s="33" t="n">
        <v>450</v>
      </c>
      <c r="J75" s="1" t="n">
        <f aca="false">(F75-G75)*I75</f>
        <v>0</v>
      </c>
      <c r="K75" s="1" t="n">
        <f aca="false">G75*I75</f>
        <v>828</v>
      </c>
      <c r="M75" s="23" t="n">
        <v>2652</v>
      </c>
      <c r="N75" s="3" t="s">
        <v>4</v>
      </c>
      <c r="O75" s="23" t="n">
        <v>2652</v>
      </c>
      <c r="P75" s="0" t="s">
        <v>26</v>
      </c>
    </row>
    <row r="76" customFormat="false" ht="16.4" hidden="false" customHeight="false" outlineLevel="0" collapsed="false">
      <c r="A76" s="1" t="n">
        <v>6212</v>
      </c>
      <c r="B76" s="0" t="s">
        <v>413</v>
      </c>
      <c r="C76" s="0" t="s">
        <v>414</v>
      </c>
      <c r="D76" s="1"/>
      <c r="F76" s="1"/>
      <c r="G76" s="1"/>
      <c r="H76" s="1" t="e">
        <f aca="false">-((G76*100/F76)-100)</f>
        <v>#DIV/0!</v>
      </c>
      <c r="J76" s="1" t="n">
        <f aca="false">(F76-G76)*I76</f>
        <v>0</v>
      </c>
      <c r="K76" s="1" t="n">
        <f aca="false">G76*I76</f>
        <v>0</v>
      </c>
      <c r="L76" s="64" t="n">
        <v>255</v>
      </c>
      <c r="M76" s="23" t="n">
        <v>505</v>
      </c>
      <c r="N76" s="3" t="s">
        <v>4</v>
      </c>
      <c r="O76" s="23" t="n">
        <v>505</v>
      </c>
      <c r="P76" s="0" t="s">
        <v>26</v>
      </c>
    </row>
    <row r="77" customFormat="false" ht="15" hidden="false" customHeight="false" outlineLevel="0" collapsed="false">
      <c r="A77" s="1"/>
      <c r="D77" s="1"/>
      <c r="F77" s="1"/>
      <c r="G77" s="1"/>
      <c r="H77" s="1"/>
      <c r="J77" s="1"/>
      <c r="K77" s="1" t="n">
        <f aca="false">G77*I77</f>
        <v>0</v>
      </c>
      <c r="L77" s="64"/>
      <c r="M77" s="23"/>
      <c r="N77" s="3"/>
      <c r="O77" s="23"/>
    </row>
    <row r="78" customFormat="false" ht="16.4" hidden="false" customHeight="false" outlineLevel="0" collapsed="false">
      <c r="A78" s="1" t="n">
        <v>6213</v>
      </c>
      <c r="B78" s="0" t="s">
        <v>407</v>
      </c>
      <c r="C78" s="0" t="s">
        <v>58</v>
      </c>
      <c r="D78" s="1" t="s">
        <v>37</v>
      </c>
      <c r="E78" s="0" t="s">
        <v>38</v>
      </c>
      <c r="F78" s="1" t="n">
        <v>0.85</v>
      </c>
      <c r="G78" s="1" t="n">
        <v>0.85</v>
      </c>
      <c r="H78" s="1" t="n">
        <f aca="false">-((G78*100/F78)-100)</f>
        <v>-0</v>
      </c>
      <c r="I78" s="33" t="n">
        <v>450</v>
      </c>
      <c r="J78" s="1" t="n">
        <f aca="false">(F78-G78)*I78</f>
        <v>0</v>
      </c>
      <c r="K78" s="1" t="n">
        <f aca="false">G78*I78</f>
        <v>382.5</v>
      </c>
      <c r="M78" s="23" t="n">
        <v>1133</v>
      </c>
      <c r="N78" s="3" t="s">
        <v>4</v>
      </c>
      <c r="O78" s="23" t="n">
        <v>1133</v>
      </c>
      <c r="P78" s="0" t="s">
        <v>29</v>
      </c>
    </row>
    <row r="79" customFormat="false" ht="16.4" hidden="false" customHeight="false" outlineLevel="0" collapsed="false">
      <c r="A79" s="1" t="n">
        <v>6213</v>
      </c>
      <c r="B79" s="0" t="s">
        <v>407</v>
      </c>
      <c r="C79" s="0" t="s">
        <v>56</v>
      </c>
      <c r="D79" s="1" t="s">
        <v>37</v>
      </c>
      <c r="E79" s="0" t="s">
        <v>38</v>
      </c>
      <c r="F79" s="1" t="n">
        <v>1.62</v>
      </c>
      <c r="G79" s="1" t="n">
        <v>1.62</v>
      </c>
      <c r="H79" s="1" t="n">
        <f aca="false">-((G79*100/F79)-100)</f>
        <v>-0</v>
      </c>
      <c r="I79" s="33" t="n">
        <v>450</v>
      </c>
      <c r="J79" s="1" t="n">
        <f aca="false">(F79-G79)*I79</f>
        <v>0</v>
      </c>
      <c r="K79" s="1" t="n">
        <f aca="false">G79*I79</f>
        <v>729</v>
      </c>
      <c r="M79" s="23" t="n">
        <v>2160</v>
      </c>
      <c r="N79" s="3" t="s">
        <v>4</v>
      </c>
      <c r="O79" s="23" t="n">
        <v>2160</v>
      </c>
      <c r="P79" s="0" t="s">
        <v>29</v>
      </c>
    </row>
    <row r="80" customFormat="false" ht="15" hidden="false" customHeight="false" outlineLevel="0" collapsed="false">
      <c r="A80" s="1"/>
      <c r="D80" s="1"/>
      <c r="F80" s="1"/>
      <c r="G80" s="1"/>
      <c r="H80" s="1"/>
      <c r="I80" s="1"/>
      <c r="J80" s="1"/>
      <c r="K80" s="1" t="n">
        <f aca="false">G80*I80</f>
        <v>0</v>
      </c>
      <c r="M80" s="23"/>
      <c r="N80" s="3"/>
      <c r="O80" s="23"/>
    </row>
    <row r="81" customFormat="false" ht="16.4" hidden="false" customHeight="false" outlineLevel="0" collapsed="false">
      <c r="A81" s="1" t="n">
        <v>6209</v>
      </c>
      <c r="B81" s="0" t="s">
        <v>415</v>
      </c>
      <c r="C81" s="0" t="s">
        <v>56</v>
      </c>
      <c r="D81" s="1" t="s">
        <v>37</v>
      </c>
      <c r="E81" s="0" t="s">
        <v>416</v>
      </c>
      <c r="F81" s="1" t="n">
        <v>1.33</v>
      </c>
      <c r="G81" s="1" t="n">
        <v>1.33</v>
      </c>
      <c r="H81" s="1" t="n">
        <f aca="false">-((G81*100/F81)-100)</f>
        <v>-0</v>
      </c>
      <c r="I81" s="33" t="n">
        <v>547</v>
      </c>
      <c r="J81" s="1" t="n">
        <f aca="false">(F81-G81)*I81</f>
        <v>0</v>
      </c>
      <c r="K81" s="1" t="n">
        <f aca="false">G81*I81</f>
        <v>727.51</v>
      </c>
      <c r="M81" s="23" t="n">
        <v>2101</v>
      </c>
      <c r="N81" s="3" t="s">
        <v>4</v>
      </c>
      <c r="O81" s="23" t="n">
        <v>2101</v>
      </c>
      <c r="P81" s="2" t="s">
        <v>26</v>
      </c>
    </row>
    <row r="82" customFormat="false" ht="16.4" hidden="false" customHeight="false" outlineLevel="0" collapsed="false">
      <c r="A82" s="1" t="n">
        <v>6209</v>
      </c>
      <c r="B82" s="0" t="s">
        <v>415</v>
      </c>
      <c r="C82" s="0" t="s">
        <v>212</v>
      </c>
      <c r="D82" s="1" t="s">
        <v>37</v>
      </c>
      <c r="E82" s="0" t="s">
        <v>416</v>
      </c>
      <c r="F82" s="1" t="n">
        <v>0.29</v>
      </c>
      <c r="G82" s="1" t="n">
        <v>0.29</v>
      </c>
      <c r="H82" s="1" t="n">
        <f aca="false">-((G82*100/F82)-100)</f>
        <v>-0</v>
      </c>
      <c r="I82" s="33" t="n">
        <v>547</v>
      </c>
      <c r="J82" s="1" t="n">
        <f aca="false">(F82-G82)*I82</f>
        <v>0</v>
      </c>
      <c r="K82" s="1" t="n">
        <f aca="false">G82*I82</f>
        <v>158.63</v>
      </c>
      <c r="M82" s="23" t="n">
        <v>363</v>
      </c>
      <c r="N82" s="3" t="s">
        <v>4</v>
      </c>
      <c r="O82" s="23" t="n">
        <v>363</v>
      </c>
      <c r="P82" s="2" t="s">
        <v>26</v>
      </c>
    </row>
    <row r="83" customFormat="false" ht="16.4" hidden="false" customHeight="false" outlineLevel="0" collapsed="false">
      <c r="A83" s="1" t="n">
        <v>6209</v>
      </c>
      <c r="B83" s="0" t="s">
        <v>415</v>
      </c>
      <c r="C83" s="0" t="s">
        <v>58</v>
      </c>
      <c r="D83" s="1" t="s">
        <v>24</v>
      </c>
      <c r="E83" s="0" t="s">
        <v>386</v>
      </c>
      <c r="F83" s="1" t="n">
        <v>0.86</v>
      </c>
      <c r="G83" s="1" t="n">
        <v>0.86</v>
      </c>
      <c r="H83" s="1" t="n">
        <f aca="false">-((G83*100/F83)-100)</f>
        <v>-0</v>
      </c>
      <c r="I83" s="33" t="n">
        <v>220</v>
      </c>
      <c r="J83" s="1" t="n">
        <f aca="false">(F83-G83)*I83</f>
        <v>0</v>
      </c>
      <c r="K83" s="1" t="n">
        <f aca="false">G83*I83</f>
        <v>189.2</v>
      </c>
      <c r="M83" s="23" t="n">
        <v>1059</v>
      </c>
      <c r="N83" s="3" t="s">
        <v>4</v>
      </c>
      <c r="O83" s="23" t="n">
        <v>1059</v>
      </c>
      <c r="P83" s="2" t="s">
        <v>26</v>
      </c>
    </row>
    <row r="84" customFormat="false" ht="16.4" hidden="false" customHeight="false" outlineLevel="0" collapsed="false">
      <c r="A84" s="1" t="n">
        <v>6209</v>
      </c>
      <c r="B84" s="0" t="s">
        <v>415</v>
      </c>
      <c r="C84" s="0" t="s">
        <v>212</v>
      </c>
      <c r="D84" s="1" t="s">
        <v>24</v>
      </c>
      <c r="E84" s="0" t="s">
        <v>386</v>
      </c>
      <c r="F84" s="1" t="n">
        <v>0.29</v>
      </c>
      <c r="G84" s="1" t="n">
        <v>0.29</v>
      </c>
      <c r="H84" s="1" t="n">
        <f aca="false">-((G84*100/F84)-100)</f>
        <v>-0</v>
      </c>
      <c r="I84" s="33" t="n">
        <v>220</v>
      </c>
      <c r="J84" s="1" t="n">
        <f aca="false">(F84-G84)*I84</f>
        <v>0</v>
      </c>
      <c r="K84" s="1" t="n">
        <f aca="false">G84*I84</f>
        <v>63.8</v>
      </c>
      <c r="M84" s="23" t="n">
        <v>263</v>
      </c>
      <c r="N84" s="3" t="s">
        <v>4</v>
      </c>
      <c r="O84" s="23" t="n">
        <v>263</v>
      </c>
      <c r="P84" s="2" t="s">
        <v>26</v>
      </c>
    </row>
    <row r="85" customFormat="false" ht="16.4" hidden="false" customHeight="false" outlineLevel="0" collapsed="false">
      <c r="A85" s="1" t="n">
        <v>6209</v>
      </c>
      <c r="B85" s="0" t="s">
        <v>415</v>
      </c>
      <c r="C85" s="0" t="s">
        <v>55</v>
      </c>
      <c r="D85" s="1" t="s">
        <v>37</v>
      </c>
      <c r="E85" s="0" t="s">
        <v>416</v>
      </c>
      <c r="F85" s="1" t="n">
        <v>10.5</v>
      </c>
      <c r="G85" s="1" t="n">
        <v>10.5</v>
      </c>
      <c r="H85" s="1" t="n">
        <f aca="false">-((G85*100/F85)-100)</f>
        <v>-0</v>
      </c>
      <c r="I85" s="33" t="n">
        <v>547</v>
      </c>
      <c r="J85" s="1" t="n">
        <f aca="false">(F85-G85)*I85</f>
        <v>0</v>
      </c>
      <c r="K85" s="1" t="n">
        <f aca="false">G85*I85</f>
        <v>5743.5</v>
      </c>
      <c r="M85" s="23" t="n">
        <v>16678</v>
      </c>
      <c r="N85" s="3" t="s">
        <v>4</v>
      </c>
      <c r="O85" s="23" t="n">
        <v>16678</v>
      </c>
      <c r="P85" s="1" t="s">
        <v>26</v>
      </c>
    </row>
    <row r="86" customFormat="false" ht="15" hidden="false" customHeight="false" outlineLevel="0" collapsed="false">
      <c r="A86" s="1"/>
      <c r="D86" s="1"/>
      <c r="F86" s="1"/>
      <c r="G86" s="1"/>
      <c r="H86" s="1"/>
      <c r="I86" s="1"/>
      <c r="J86" s="1"/>
      <c r="K86" s="1" t="n">
        <f aca="false">G86*I86</f>
        <v>0</v>
      </c>
      <c r="M86" s="23"/>
      <c r="N86" s="12"/>
      <c r="O86" s="23"/>
      <c r="P86" s="1"/>
    </row>
    <row r="87" customFormat="false" ht="16.4" hidden="false" customHeight="false" outlineLevel="0" collapsed="false">
      <c r="A87" s="1" t="n">
        <v>6198</v>
      </c>
      <c r="B87" s="0" t="s">
        <v>33</v>
      </c>
      <c r="C87" s="0" t="s">
        <v>417</v>
      </c>
      <c r="D87" s="1" t="s">
        <v>24</v>
      </c>
      <c r="E87" s="0" t="s">
        <v>418</v>
      </c>
      <c r="F87" s="1" t="n">
        <v>19.15</v>
      </c>
      <c r="G87" s="1" t="n">
        <v>18.32</v>
      </c>
      <c r="H87" s="1" t="n">
        <f aca="false">-((G87*100/F87)-100)</f>
        <v>4.33420365535247</v>
      </c>
      <c r="I87" s="33" t="n">
        <v>336</v>
      </c>
      <c r="J87" s="1" t="n">
        <f aca="false">(F87-G87)*I87</f>
        <v>278.879999999999</v>
      </c>
      <c r="K87" s="1" t="n">
        <f aca="false">G87*I87</f>
        <v>6155.52</v>
      </c>
      <c r="M87" s="23" t="n">
        <v>18000</v>
      </c>
      <c r="N87" s="3" t="s">
        <v>4</v>
      </c>
      <c r="O87" s="23" t="n">
        <v>18000</v>
      </c>
      <c r="P87" s="2" t="s">
        <v>158</v>
      </c>
    </row>
    <row r="88" customFormat="false" ht="15" hidden="false" customHeight="false" outlineLevel="0" collapsed="false">
      <c r="A88" s="1"/>
      <c r="D88" s="1"/>
      <c r="F88" s="1"/>
      <c r="G88" s="1"/>
      <c r="H88" s="1"/>
      <c r="I88" s="1"/>
      <c r="J88" s="1"/>
      <c r="K88" s="1" t="n">
        <f aca="false">G88*I88</f>
        <v>0</v>
      </c>
      <c r="M88" s="23"/>
      <c r="N88" s="12"/>
      <c r="O88" s="23"/>
      <c r="P88" s="1"/>
    </row>
    <row r="89" customFormat="false" ht="16.4" hidden="false" customHeight="false" outlineLevel="0" collapsed="false">
      <c r="A89" s="1" t="n">
        <v>6211</v>
      </c>
      <c r="B89" s="0" t="s">
        <v>363</v>
      </c>
      <c r="C89" s="0" t="s">
        <v>51</v>
      </c>
      <c r="D89" s="1" t="s">
        <v>37</v>
      </c>
      <c r="E89" s="0" t="s">
        <v>106</v>
      </c>
      <c r="F89" s="1" t="n">
        <v>1.68</v>
      </c>
      <c r="G89" s="1" t="n">
        <v>1.5</v>
      </c>
      <c r="H89" s="1" t="n">
        <f aca="false">-((G89*100/F89)-100)</f>
        <v>10.7142857142857</v>
      </c>
      <c r="I89" s="33" t="n">
        <v>820</v>
      </c>
      <c r="J89" s="1" t="n">
        <f aca="false">(F89-G89)*I89</f>
        <v>147.6</v>
      </c>
      <c r="K89" s="1" t="n">
        <f aca="false">G89*I89</f>
        <v>1230</v>
      </c>
      <c r="M89" s="23" t="n">
        <v>3613</v>
      </c>
      <c r="N89" s="3" t="s">
        <v>4</v>
      </c>
      <c r="O89" s="23" t="n">
        <v>3613</v>
      </c>
      <c r="P89" s="0" t="s">
        <v>29</v>
      </c>
    </row>
    <row r="90" customFormat="false" ht="16.4" hidden="false" customHeight="false" outlineLevel="0" collapsed="false">
      <c r="A90" s="1" t="n">
        <v>6211</v>
      </c>
      <c r="B90" s="0" t="s">
        <v>363</v>
      </c>
      <c r="C90" s="0" t="s">
        <v>62</v>
      </c>
      <c r="D90" s="1" t="s">
        <v>24</v>
      </c>
      <c r="E90" s="0" t="s">
        <v>380</v>
      </c>
      <c r="F90" s="1" t="n">
        <v>2.73</v>
      </c>
      <c r="G90" s="1" t="n">
        <v>1.71</v>
      </c>
      <c r="H90" s="1" t="n">
        <f aca="false">-((G90*100/F90)-100)</f>
        <v>37.3626373626374</v>
      </c>
      <c r="I90" s="33" t="n">
        <v>264</v>
      </c>
      <c r="J90" s="1" t="n">
        <f aca="false">(F90-G90)*I90</f>
        <v>269.28</v>
      </c>
      <c r="K90" s="1" t="n">
        <f aca="false">G90*I90</f>
        <v>451.44</v>
      </c>
      <c r="M90" s="23" t="n">
        <v>3604</v>
      </c>
      <c r="N90" s="3" t="s">
        <v>4</v>
      </c>
      <c r="O90" s="23" t="n">
        <v>3604</v>
      </c>
      <c r="P90" s="0" t="s">
        <v>29</v>
      </c>
    </row>
    <row r="91" customFormat="false" ht="15" hidden="false" customHeight="false" outlineLevel="0" collapsed="false">
      <c r="A91" s="1"/>
      <c r="D91" s="1"/>
      <c r="F91" s="1"/>
      <c r="G91" s="1"/>
      <c r="H91" s="1"/>
      <c r="I91" s="1"/>
      <c r="J91" s="1"/>
      <c r="K91" s="1" t="n">
        <f aca="false">G91*I91</f>
        <v>0</v>
      </c>
      <c r="M91" s="23"/>
      <c r="N91" s="12"/>
      <c r="O91" s="23"/>
    </row>
    <row r="92" customFormat="false" ht="16.4" hidden="false" customHeight="false" outlineLevel="0" collapsed="false">
      <c r="A92" s="1" t="n">
        <v>6203</v>
      </c>
      <c r="B92" s="0" t="s">
        <v>44</v>
      </c>
      <c r="C92" s="0" t="s">
        <v>419</v>
      </c>
      <c r="D92" s="1" t="s">
        <v>53</v>
      </c>
      <c r="E92" s="0" t="s">
        <v>420</v>
      </c>
      <c r="F92" s="1" t="n">
        <v>6.05</v>
      </c>
      <c r="G92" s="1" t="n">
        <v>6.05</v>
      </c>
      <c r="H92" s="1" t="n">
        <f aca="false">-((G92*100/F92)-100)</f>
        <v>-0</v>
      </c>
      <c r="I92" s="33" t="n">
        <v>476</v>
      </c>
      <c r="J92" s="1" t="n">
        <f aca="false">(F92-G92)*I92</f>
        <v>0</v>
      </c>
      <c r="K92" s="1" t="n">
        <f aca="false">G92*I92</f>
        <v>2879.8</v>
      </c>
      <c r="M92" s="23" t="n">
        <v>8666</v>
      </c>
      <c r="N92" s="3" t="s">
        <v>4</v>
      </c>
      <c r="O92" s="23" t="n">
        <v>8666</v>
      </c>
      <c r="P92" s="0" t="s">
        <v>26</v>
      </c>
    </row>
    <row r="93" customFormat="false" ht="15" hidden="false" customHeight="false" outlineLevel="0" collapsed="false">
      <c r="A93" s="1"/>
      <c r="D93" s="1"/>
      <c r="F93" s="1"/>
      <c r="G93" s="1"/>
      <c r="H93" s="1"/>
      <c r="I93" s="1"/>
      <c r="J93" s="1"/>
      <c r="K93" s="1" t="n">
        <f aca="false">G93*I93</f>
        <v>0</v>
      </c>
      <c r="M93" s="23"/>
      <c r="N93" s="12"/>
      <c r="O93" s="23"/>
    </row>
    <row r="94" customFormat="false" ht="16.4" hidden="false" customHeight="false" outlineLevel="0" collapsed="false">
      <c r="A94" s="1" t="n">
        <v>6191</v>
      </c>
      <c r="B94" s="0" t="s">
        <v>381</v>
      </c>
      <c r="C94" s="0" t="s">
        <v>206</v>
      </c>
      <c r="D94" s="1" t="s">
        <v>53</v>
      </c>
      <c r="E94" s="0" t="s">
        <v>382</v>
      </c>
      <c r="F94" s="1" t="n">
        <v>0.09</v>
      </c>
      <c r="G94" s="1" t="n">
        <v>0.09</v>
      </c>
      <c r="H94" s="1" t="n">
        <f aca="false">-((G94*100/F94)-100)</f>
        <v>-0</v>
      </c>
      <c r="I94" s="33" t="n">
        <v>760</v>
      </c>
      <c r="J94" s="1" t="n">
        <f aca="false">(F94-G94)*I94</f>
        <v>0</v>
      </c>
      <c r="K94" s="1" t="n">
        <f aca="false">G94*I94</f>
        <v>68.4</v>
      </c>
      <c r="M94" s="23" t="n">
        <v>148</v>
      </c>
      <c r="N94" s="3" t="s">
        <v>4</v>
      </c>
      <c r="O94" s="23" t="n">
        <v>148</v>
      </c>
      <c r="P94" s="2" t="s">
        <v>26</v>
      </c>
    </row>
    <row r="95" customFormat="false" ht="16.4" hidden="false" customHeight="false" outlineLevel="0" collapsed="false">
      <c r="A95" s="1" t="n">
        <v>6191</v>
      </c>
      <c r="B95" s="0" t="s">
        <v>381</v>
      </c>
      <c r="C95" s="0" t="s">
        <v>206</v>
      </c>
      <c r="D95" s="1" t="s">
        <v>53</v>
      </c>
      <c r="E95" s="0" t="s">
        <v>382</v>
      </c>
      <c r="F95" s="1" t="n">
        <v>0.09</v>
      </c>
      <c r="G95" s="1" t="n">
        <v>0.09</v>
      </c>
      <c r="H95" s="1" t="n">
        <f aca="false">-((G95*100/F95)-100)</f>
        <v>-0</v>
      </c>
      <c r="I95" s="33" t="n">
        <v>760</v>
      </c>
      <c r="J95" s="1" t="n">
        <f aca="false">(F95-G95)*I95</f>
        <v>0</v>
      </c>
      <c r="K95" s="1" t="n">
        <f aca="false">G95*I95</f>
        <v>68.4</v>
      </c>
      <c r="M95" s="23" t="n">
        <v>148</v>
      </c>
      <c r="N95" s="3" t="s">
        <v>4</v>
      </c>
      <c r="O95" s="23" t="n">
        <v>148</v>
      </c>
      <c r="P95" s="2" t="s">
        <v>26</v>
      </c>
    </row>
    <row r="96" customFormat="false" ht="16.4" hidden="false" customHeight="false" outlineLevel="0" collapsed="false">
      <c r="A96" s="1" t="n">
        <v>6191</v>
      </c>
      <c r="B96" s="0" t="s">
        <v>381</v>
      </c>
      <c r="C96" s="0" t="s">
        <v>421</v>
      </c>
      <c r="D96" s="1" t="s">
        <v>53</v>
      </c>
      <c r="E96" s="0" t="s">
        <v>382</v>
      </c>
      <c r="F96" s="1" t="n">
        <v>1.32</v>
      </c>
      <c r="G96" s="1" t="n">
        <v>1.32</v>
      </c>
      <c r="H96" s="1" t="n">
        <f aca="false">-((G96*100/F96)-100)</f>
        <v>-0</v>
      </c>
      <c r="I96" s="33" t="n">
        <v>760</v>
      </c>
      <c r="J96" s="1" t="n">
        <f aca="false">(F96-G96)*I96</f>
        <v>0</v>
      </c>
      <c r="K96" s="1" t="n">
        <f aca="false">G96*I96</f>
        <v>1003.2</v>
      </c>
      <c r="M96" s="23" t="n">
        <v>2379</v>
      </c>
      <c r="N96" s="3" t="s">
        <v>4</v>
      </c>
      <c r="O96" s="23" t="n">
        <v>2379</v>
      </c>
      <c r="P96" s="2" t="s">
        <v>26</v>
      </c>
    </row>
    <row r="97" customFormat="false" ht="15" hidden="false" customHeight="false" outlineLevel="0" collapsed="false">
      <c r="A97" s="1"/>
      <c r="D97" s="1"/>
      <c r="F97" s="1"/>
      <c r="G97" s="1"/>
      <c r="H97" s="1"/>
      <c r="J97" s="1"/>
      <c r="K97" s="1" t="n">
        <f aca="false">G97*I97</f>
        <v>0</v>
      </c>
      <c r="M97" s="23"/>
      <c r="N97" s="12"/>
      <c r="O97" s="23"/>
    </row>
    <row r="98" customFormat="false" ht="16.4" hidden="false" customHeight="false" outlineLevel="0" collapsed="false">
      <c r="A98" s="1" t="n">
        <v>6218</v>
      </c>
      <c r="B98" s="0" t="s">
        <v>422</v>
      </c>
      <c r="C98" s="0" t="s">
        <v>55</v>
      </c>
      <c r="D98" s="1" t="s">
        <v>53</v>
      </c>
      <c r="E98" s="0" t="s">
        <v>423</v>
      </c>
      <c r="F98" s="1" t="n">
        <v>7.39</v>
      </c>
      <c r="G98" s="1" t="n">
        <v>7.39</v>
      </c>
      <c r="H98" s="1" t="n">
        <f aca="false">-((G98*100/F98)-100)</f>
        <v>-0</v>
      </c>
      <c r="I98" s="33" t="n">
        <v>480</v>
      </c>
      <c r="J98" s="1" t="n">
        <f aca="false">(F98-G98)*I98</f>
        <v>0</v>
      </c>
      <c r="K98" s="1" t="n">
        <f aca="false">G98*I98</f>
        <v>3547.2</v>
      </c>
      <c r="M98" s="23" t="n">
        <v>12631</v>
      </c>
      <c r="N98" s="3" t="s">
        <v>4</v>
      </c>
      <c r="O98" s="23" t="n">
        <v>12631</v>
      </c>
      <c r="P98" s="0" t="s">
        <v>29</v>
      </c>
    </row>
    <row r="99" customFormat="false" ht="16.4" hidden="false" customHeight="false" outlineLevel="0" collapsed="false">
      <c r="A99" s="1" t="n">
        <v>6218</v>
      </c>
      <c r="B99" s="0" t="s">
        <v>422</v>
      </c>
      <c r="C99" s="0" t="s">
        <v>92</v>
      </c>
      <c r="D99" s="1" t="s">
        <v>53</v>
      </c>
      <c r="E99" s="0" t="s">
        <v>423</v>
      </c>
      <c r="F99" s="1" t="n">
        <v>0</v>
      </c>
      <c r="G99" s="1" t="n">
        <v>0</v>
      </c>
      <c r="H99" s="1" t="e">
        <f aca="false">-((G99*100/F99)-100)</f>
        <v>#DIV/0!</v>
      </c>
      <c r="I99" s="33" t="n">
        <v>480</v>
      </c>
      <c r="J99" s="1" t="n">
        <f aca="false">(F99-G99)*I99</f>
        <v>0</v>
      </c>
      <c r="K99" s="1" t="n">
        <f aca="false">G99*I99</f>
        <v>0</v>
      </c>
      <c r="M99" s="23" t="n">
        <v>2983</v>
      </c>
      <c r="N99" s="3" t="s">
        <v>4</v>
      </c>
      <c r="O99" s="23" t="n">
        <v>2983</v>
      </c>
      <c r="P99" s="0" t="s">
        <v>29</v>
      </c>
    </row>
    <row r="100" customFormat="false" ht="16.4" hidden="false" customHeight="false" outlineLevel="0" collapsed="false">
      <c r="A100" s="1" t="n">
        <v>6218</v>
      </c>
      <c r="B100" s="0" t="s">
        <v>422</v>
      </c>
      <c r="C100" s="0" t="s">
        <v>424</v>
      </c>
      <c r="D100" s="1" t="s">
        <v>53</v>
      </c>
      <c r="E100" s="0" t="s">
        <v>423</v>
      </c>
      <c r="F100" s="1" t="n">
        <v>1.13</v>
      </c>
      <c r="G100" s="1" t="n">
        <v>1.13</v>
      </c>
      <c r="H100" s="1" t="n">
        <f aca="false">-((G100*100/F100)-100)</f>
        <v>-0</v>
      </c>
      <c r="I100" s="33" t="n">
        <v>480</v>
      </c>
      <c r="J100" s="1" t="n">
        <f aca="false">(F100-G100)*I100</f>
        <v>0</v>
      </c>
      <c r="K100" s="1" t="n">
        <f aca="false">G100*I100</f>
        <v>542.4</v>
      </c>
      <c r="M100" s="23" t="n">
        <v>1923</v>
      </c>
      <c r="N100" s="3" t="s">
        <v>4</v>
      </c>
      <c r="O100" s="23" t="n">
        <v>1923</v>
      </c>
      <c r="P100" s="0" t="s">
        <v>29</v>
      </c>
    </row>
    <row r="101" customFormat="false" ht="16.4" hidden="false" customHeight="false" outlineLevel="0" collapsed="false">
      <c r="A101" s="1" t="n">
        <v>6218</v>
      </c>
      <c r="B101" s="0" t="s">
        <v>422</v>
      </c>
      <c r="C101" s="0" t="s">
        <v>57</v>
      </c>
      <c r="D101" s="1" t="s">
        <v>53</v>
      </c>
      <c r="E101" s="0" t="s">
        <v>423</v>
      </c>
      <c r="F101" s="1" t="n">
        <v>0.85</v>
      </c>
      <c r="G101" s="1" t="n">
        <v>0.85</v>
      </c>
      <c r="H101" s="1" t="n">
        <f aca="false">-((G101*100/F101)-100)</f>
        <v>-0</v>
      </c>
      <c r="I101" s="33" t="n">
        <v>480</v>
      </c>
      <c r="J101" s="1" t="n">
        <f aca="false">(F101-G101)*I101</f>
        <v>0</v>
      </c>
      <c r="K101" s="1" t="n">
        <f aca="false">G101*I101</f>
        <v>408</v>
      </c>
      <c r="M101" s="23" t="n">
        <v>1454</v>
      </c>
      <c r="N101" s="3" t="s">
        <v>4</v>
      </c>
      <c r="O101" s="23" t="n">
        <v>1454</v>
      </c>
      <c r="P101" s="0" t="s">
        <v>29</v>
      </c>
    </row>
    <row r="102" customFormat="false" ht="15" hidden="false" customHeight="false" outlineLevel="0" collapsed="false">
      <c r="A102" s="1"/>
      <c r="D102" s="1"/>
      <c r="F102" s="1"/>
      <c r="G102" s="1"/>
      <c r="H102" s="1"/>
      <c r="I102" s="1"/>
      <c r="J102" s="1"/>
      <c r="K102" s="1" t="n">
        <f aca="false">G102*I102</f>
        <v>0</v>
      </c>
      <c r="M102" s="23"/>
      <c r="N102" s="12"/>
      <c r="O102" s="23"/>
    </row>
    <row r="103" customFormat="false" ht="16.4" hidden="false" customHeight="false" outlineLevel="0" collapsed="false">
      <c r="A103" s="1" t="n">
        <v>6214</v>
      </c>
      <c r="B103" s="0" t="s">
        <v>425</v>
      </c>
      <c r="C103" s="0" t="s">
        <v>426</v>
      </c>
      <c r="D103" s="1" t="s">
        <v>53</v>
      </c>
      <c r="E103" s="0" t="s">
        <v>54</v>
      </c>
      <c r="F103" s="1" t="n">
        <v>4.71</v>
      </c>
      <c r="G103" s="1" t="n">
        <v>4.71</v>
      </c>
      <c r="H103" s="1" t="n">
        <f aca="false">-((G103*100/F103)-100)</f>
        <v>-0</v>
      </c>
      <c r="I103" s="33" t="n">
        <v>824.5</v>
      </c>
      <c r="J103" s="1" t="n">
        <f aca="false">(F103-G103)*I103</f>
        <v>0</v>
      </c>
      <c r="K103" s="1" t="n">
        <f aca="false">G103*I103</f>
        <v>3883.395</v>
      </c>
      <c r="M103" s="23" t="n">
        <v>9495</v>
      </c>
      <c r="N103" s="3" t="s">
        <v>4</v>
      </c>
      <c r="O103" s="23" t="n">
        <v>9495</v>
      </c>
      <c r="P103" s="0" t="s">
        <v>29</v>
      </c>
    </row>
    <row r="104" customFormat="false" ht="15" hidden="false" customHeight="false" outlineLevel="0" collapsed="false">
      <c r="A104" s="1"/>
      <c r="D104" s="1"/>
      <c r="F104" s="1"/>
      <c r="G104" s="1"/>
      <c r="H104" s="1"/>
      <c r="I104" s="1"/>
      <c r="J104" s="1"/>
      <c r="M104" s="23"/>
      <c r="N104" s="26"/>
      <c r="O104" s="23"/>
    </row>
    <row r="105" customFormat="false" ht="15" hidden="false" customHeight="false" outlineLevel="0" collapsed="false">
      <c r="F105" s="1" t="n">
        <v>199.66</v>
      </c>
      <c r="G105" s="1" t="n">
        <v>185.05</v>
      </c>
      <c r="J105" s="0" t="n">
        <v>1142.16</v>
      </c>
      <c r="K105" s="0" t="n">
        <v>87818.17</v>
      </c>
      <c r="L105" s="0" t="n">
        <v>1096</v>
      </c>
      <c r="M105" s="23" t="n">
        <f aca="false">SUM(M5:M103)</f>
        <v>300963</v>
      </c>
    </row>
    <row r="106" s="65" customFormat="true" ht="15" hidden="false" customHeight="false" outlineLevel="0" collapsed="false"/>
    <row r="108" customFormat="false" ht="15" hidden="false" customHeight="false" outlineLevel="0" collapsed="false">
      <c r="A108" s="1"/>
      <c r="D108" s="1"/>
      <c r="F108" s="1"/>
      <c r="G108" s="1"/>
      <c r="H108" s="1"/>
      <c r="I108" s="1"/>
      <c r="J108" s="1"/>
      <c r="M108" s="23"/>
      <c r="N108" s="26"/>
      <c r="O108" s="23"/>
    </row>
    <row r="110" customFormat="false" ht="15" hidden="false" customHeight="false" outlineLevel="0" collapsed="false">
      <c r="A110" s="1"/>
      <c r="G110" s="1"/>
      <c r="H110" s="1"/>
      <c r="J110" s="1"/>
      <c r="M110" s="23"/>
      <c r="N110" s="26"/>
      <c r="O110" s="23"/>
    </row>
    <row r="112" customFormat="false" ht="15" hidden="false" customHeight="false" outlineLevel="0" collapsed="false">
      <c r="A112" s="1"/>
      <c r="D112" s="1"/>
      <c r="F112" s="1"/>
      <c r="H112" s="1"/>
      <c r="J112" s="1"/>
      <c r="M112" s="23"/>
      <c r="N112" s="1"/>
      <c r="O112" s="23"/>
    </row>
    <row r="114" customFormat="false" ht="15" hidden="false" customHeight="false" outlineLevel="0" collapsed="false">
      <c r="A114" s="1"/>
      <c r="D114" s="1"/>
      <c r="F114" s="1"/>
      <c r="G114" s="1"/>
      <c r="H114" s="1"/>
      <c r="I114" s="1"/>
      <c r="J114" s="1"/>
      <c r="M114" s="23"/>
      <c r="N114" s="3"/>
      <c r="O114" s="23"/>
      <c r="P114" s="1"/>
    </row>
    <row r="115" customFormat="false" ht="15" hidden="false" customHeight="false" outlineLevel="0" collapsed="false">
      <c r="G115" s="1"/>
    </row>
    <row r="116" customFormat="false" ht="15" hidden="false" customHeight="false" outlineLevel="0" collapsed="false">
      <c r="A116" s="1"/>
      <c r="D116" s="1"/>
      <c r="F116" s="1"/>
      <c r="G116" s="1"/>
      <c r="H116" s="1"/>
      <c r="I116" s="1"/>
      <c r="J116" s="1"/>
      <c r="M116" s="23"/>
      <c r="N116" s="3"/>
      <c r="O116" s="23"/>
      <c r="P116" s="1"/>
    </row>
    <row r="117" customFormat="false" ht="15" hidden="false" customHeight="false" outlineLevel="0" collapsed="false">
      <c r="A117" s="1"/>
      <c r="D117" s="1"/>
      <c r="F117" s="1"/>
      <c r="G117" s="1"/>
      <c r="H117" s="1"/>
      <c r="I117" s="1"/>
      <c r="J117" s="1"/>
      <c r="M117" s="23"/>
      <c r="N117" s="3"/>
      <c r="O117" s="23"/>
      <c r="P117" s="1"/>
    </row>
    <row r="118" customFormat="false" ht="15" hidden="false" customHeight="false" outlineLevel="0" collapsed="false">
      <c r="A118" s="1"/>
      <c r="D118" s="1"/>
      <c r="F118" s="1"/>
      <c r="G118" s="1"/>
      <c r="H118" s="1"/>
      <c r="I118" s="1"/>
      <c r="J118" s="1"/>
      <c r="M118" s="23"/>
      <c r="N118" s="3"/>
      <c r="O118" s="23"/>
      <c r="P118" s="1"/>
    </row>
    <row r="119" customFormat="false" ht="15" hidden="false" customHeight="false" outlineLevel="0" collapsed="false">
      <c r="A119" s="1"/>
      <c r="D119" s="1"/>
      <c r="F119" s="1"/>
      <c r="G119" s="1"/>
      <c r="H119" s="1"/>
      <c r="J119" s="1"/>
      <c r="M119" s="23"/>
      <c r="N119" s="3"/>
      <c r="O119" s="23"/>
      <c r="P119" s="1"/>
    </row>
    <row r="120" customFormat="false" ht="15" hidden="false" customHeight="false" outlineLevel="0" collapsed="false">
      <c r="A120" s="1"/>
      <c r="D120" s="1"/>
      <c r="F120" s="1"/>
      <c r="G120" s="1"/>
      <c r="H120" s="1"/>
      <c r="I120" s="1"/>
      <c r="J120" s="1"/>
      <c r="M120" s="23"/>
      <c r="N120" s="3"/>
      <c r="O120" s="23"/>
      <c r="P120" s="1"/>
    </row>
    <row r="121" customFormat="false" ht="15" hidden="false" customHeight="false" outlineLevel="0" collapsed="false">
      <c r="A121" s="1"/>
      <c r="D121" s="1"/>
      <c r="F121" s="1"/>
      <c r="G121" s="1"/>
      <c r="H121" s="1"/>
      <c r="I121" s="1"/>
      <c r="J121" s="1"/>
      <c r="M121" s="23"/>
      <c r="N121" s="3"/>
      <c r="O121" s="23"/>
      <c r="P121" s="1"/>
    </row>
    <row r="122" customFormat="false" ht="15" hidden="false" customHeight="false" outlineLevel="0" collapsed="false">
      <c r="A122" s="1"/>
      <c r="D122" s="1"/>
      <c r="F122" s="1"/>
      <c r="G122" s="1"/>
      <c r="H122" s="1"/>
      <c r="I122" s="1"/>
      <c r="J122" s="1"/>
      <c r="M122" s="23"/>
      <c r="N122" s="3"/>
      <c r="O122" s="23"/>
      <c r="P122" s="1"/>
    </row>
    <row r="123" customFormat="false" ht="15" hidden="false" customHeight="false" outlineLevel="0" collapsed="false">
      <c r="A123" s="1"/>
      <c r="D123" s="1"/>
      <c r="F123" s="1"/>
      <c r="G123" s="1"/>
      <c r="H123" s="1"/>
      <c r="I123" s="1"/>
      <c r="J123" s="1"/>
      <c r="M123" s="23"/>
      <c r="N123" s="3"/>
      <c r="O123" s="23"/>
      <c r="P123" s="1"/>
    </row>
    <row r="124" customFormat="false" ht="15" hidden="false" customHeight="false" outlineLevel="0" collapsed="false">
      <c r="G124" s="1"/>
    </row>
    <row r="125" customFormat="false" ht="15" hidden="false" customHeight="false" outlineLevel="0" collapsed="false">
      <c r="A125" s="1"/>
      <c r="D125" s="1"/>
      <c r="F125" s="1"/>
      <c r="G125" s="1"/>
      <c r="H125" s="1"/>
      <c r="J125" s="1"/>
      <c r="M125" s="23"/>
      <c r="N125" s="1"/>
      <c r="O125" s="23"/>
    </row>
    <row r="126" customFormat="false" ht="15" hidden="false" customHeight="false" outlineLevel="0" collapsed="false">
      <c r="A126" s="1"/>
      <c r="D126" s="1"/>
      <c r="F126" s="1"/>
      <c r="H126" s="1"/>
      <c r="J126" s="1"/>
      <c r="M126" s="23"/>
      <c r="N126" s="1"/>
      <c r="O126" s="23"/>
    </row>
    <row r="127" customFormat="false" ht="15" hidden="false" customHeight="false" outlineLevel="0" collapsed="false">
      <c r="A127" s="1"/>
      <c r="D127" s="1"/>
      <c r="F127" s="1"/>
      <c r="H127" s="1"/>
      <c r="J127" s="1"/>
      <c r="M127" s="23"/>
      <c r="N127" s="1"/>
      <c r="O127" s="23"/>
    </row>
    <row r="128" customFormat="false" ht="15" hidden="false" customHeight="false" outlineLevel="0" collapsed="false">
      <c r="A128" s="1"/>
      <c r="D128" s="1"/>
      <c r="F128" s="1"/>
      <c r="H128" s="1"/>
      <c r="J128" s="1"/>
      <c r="M128" s="23"/>
      <c r="N128" s="1"/>
      <c r="O128" s="23"/>
    </row>
    <row r="129" customFormat="false" ht="15" hidden="false" customHeight="false" outlineLevel="0" collapsed="false">
      <c r="A129" s="1"/>
      <c r="D129" s="1"/>
      <c r="F129" s="1"/>
      <c r="H129" s="1"/>
      <c r="J129" s="1"/>
      <c r="M129" s="23"/>
      <c r="N129" s="1"/>
      <c r="O129" s="23"/>
    </row>
    <row r="130" customFormat="false" ht="15" hidden="false" customHeight="false" outlineLevel="0" collapsed="false">
      <c r="A130" s="1"/>
      <c r="H130" s="1"/>
      <c r="J130" s="1"/>
      <c r="M130" s="23"/>
      <c r="N130" s="1"/>
      <c r="O130" s="23"/>
    </row>
    <row r="131" customFormat="false" ht="15" hidden="false" customHeight="false" outlineLevel="0" collapsed="false">
      <c r="G131" s="1"/>
      <c r="J131" s="1"/>
      <c r="M131" s="23"/>
    </row>
    <row r="132" customFormat="false" ht="15" hidden="false" customHeight="false" outlineLevel="0" collapsed="false">
      <c r="A132" s="1"/>
      <c r="D132" s="1"/>
      <c r="F132" s="1"/>
      <c r="G132" s="1"/>
      <c r="H132" s="1"/>
      <c r="J132" s="1"/>
      <c r="M132" s="23"/>
      <c r="N132" s="1"/>
      <c r="O132" s="23"/>
      <c r="P132" s="1"/>
    </row>
    <row r="133" customFormat="false" ht="15" hidden="false" customHeight="false" outlineLevel="0" collapsed="false">
      <c r="A133" s="1"/>
      <c r="D133" s="1"/>
      <c r="F133" s="1"/>
      <c r="G133" s="1"/>
      <c r="H133" s="1"/>
      <c r="J133" s="1"/>
      <c r="M133" s="23"/>
      <c r="N133" s="1"/>
      <c r="O133" s="23"/>
      <c r="P133" s="1"/>
    </row>
    <row r="134" customFormat="false" ht="15" hidden="false" customHeight="false" outlineLevel="0" collapsed="false">
      <c r="A134" s="1"/>
      <c r="D134" s="1"/>
      <c r="F134" s="1"/>
      <c r="G134" s="1"/>
      <c r="H134" s="1"/>
      <c r="J134" s="1"/>
      <c r="M134" s="23"/>
      <c r="N134" s="1"/>
      <c r="O134" s="23"/>
      <c r="P134" s="1"/>
    </row>
    <row r="135" customFormat="false" ht="15" hidden="false" customHeight="false" outlineLevel="0" collapsed="false">
      <c r="A135" s="1"/>
      <c r="D135" s="1"/>
      <c r="F135" s="1"/>
      <c r="G135" s="1"/>
      <c r="H135" s="1"/>
      <c r="I135" s="1"/>
      <c r="J135" s="1"/>
      <c r="M135" s="23"/>
      <c r="N135" s="1"/>
      <c r="O135" s="23"/>
      <c r="P135" s="1"/>
    </row>
    <row r="136" customFormat="false" ht="15" hidden="false" customHeight="false" outlineLevel="0" collapsed="false">
      <c r="A136" s="1"/>
      <c r="G136" s="1"/>
      <c r="H136" s="1"/>
      <c r="I136" s="1"/>
      <c r="J136" s="1"/>
      <c r="M136" s="23"/>
      <c r="N136" s="1"/>
      <c r="O136" s="23"/>
      <c r="P136" s="1"/>
    </row>
    <row r="137" customFormat="false" ht="15" hidden="false" customHeight="false" outlineLevel="0" collapsed="false">
      <c r="A137" s="1"/>
      <c r="G137" s="1"/>
      <c r="H137" s="1"/>
      <c r="I137" s="1"/>
      <c r="J137" s="1"/>
      <c r="M137" s="23"/>
      <c r="N137" s="1"/>
      <c r="O137" s="23"/>
      <c r="P137" s="1"/>
    </row>
    <row r="138" customFormat="false" ht="15" hidden="false" customHeight="false" outlineLevel="0" collapsed="false">
      <c r="A138" s="1"/>
      <c r="G138" s="1"/>
      <c r="H138" s="1"/>
      <c r="I138" s="1"/>
      <c r="J138" s="1"/>
      <c r="M138" s="23"/>
      <c r="N138" s="1"/>
      <c r="O138" s="23"/>
      <c r="P138" s="1"/>
    </row>
    <row r="147" customFormat="false" ht="15" hidden="false" customHeight="false" outlineLevel="0" collapsed="false">
      <c r="A147" s="1"/>
      <c r="D147" s="1"/>
      <c r="F147" s="1"/>
      <c r="G147" s="1"/>
      <c r="H147" s="1"/>
      <c r="J147" s="1"/>
      <c r="M147" s="23"/>
      <c r="N147" s="1"/>
      <c r="O147" s="23"/>
    </row>
    <row r="149" customFormat="false" ht="15" hidden="false" customHeight="false" outlineLevel="0" collapsed="false">
      <c r="A149" s="1"/>
      <c r="D149" s="1"/>
      <c r="F149" s="1"/>
      <c r="G149" s="1"/>
      <c r="H149" s="1"/>
      <c r="I149" s="1"/>
      <c r="J149" s="1"/>
      <c r="L149" s="10"/>
      <c r="M149" s="32"/>
      <c r="N149" s="1"/>
      <c r="O149" s="35"/>
    </row>
    <row r="150" customFormat="false" ht="15" hidden="false" customHeight="false" outlineLevel="0" collapsed="false">
      <c r="A150" s="1"/>
      <c r="D150" s="1"/>
      <c r="F150" s="1"/>
      <c r="G150" s="1"/>
      <c r="H150" s="1"/>
      <c r="I150" s="1"/>
      <c r="J150" s="1"/>
      <c r="L150" s="32"/>
      <c r="M150" s="32"/>
      <c r="N150" s="1"/>
      <c r="O150" s="35"/>
    </row>
    <row r="151" customFormat="false" ht="15" hidden="false" customHeight="false" outlineLevel="0" collapsed="false">
      <c r="A151" s="1"/>
      <c r="D151" s="1"/>
      <c r="G151" s="1"/>
      <c r="H151" s="1"/>
      <c r="J151" s="1"/>
      <c r="M151" s="23"/>
      <c r="N151" s="1"/>
      <c r="O151" s="23"/>
    </row>
    <row r="152" customFormat="false" ht="15" hidden="false" customHeight="false" outlineLevel="0" collapsed="false">
      <c r="A152" s="1"/>
      <c r="D152" s="1"/>
      <c r="F152" s="1"/>
      <c r="G152" s="1"/>
      <c r="H152" s="1"/>
      <c r="I152" s="1"/>
      <c r="J152" s="1"/>
      <c r="M152" s="23"/>
      <c r="N152" s="1"/>
      <c r="O152" s="23"/>
      <c r="P152" s="1"/>
    </row>
    <row r="153" customFormat="false" ht="15" hidden="false" customHeight="false" outlineLevel="0" collapsed="false">
      <c r="A153" s="1"/>
      <c r="D153" s="1"/>
      <c r="F153" s="1"/>
      <c r="G153" s="1"/>
      <c r="H153" s="1"/>
      <c r="J153" s="1"/>
      <c r="M153" s="23"/>
      <c r="N153" s="1"/>
      <c r="O153" s="23"/>
      <c r="P153" s="1"/>
    </row>
    <row r="154" customFormat="false" ht="15" hidden="false" customHeight="false" outlineLevel="0" collapsed="false">
      <c r="A154" s="1"/>
      <c r="D154" s="1"/>
      <c r="F154" s="1"/>
      <c r="G154" s="1"/>
      <c r="H154" s="1"/>
      <c r="I154" s="1"/>
      <c r="J154" s="1"/>
      <c r="M154" s="23"/>
      <c r="N154" s="1"/>
      <c r="O154" s="23"/>
      <c r="P154" s="1"/>
    </row>
    <row r="155" customFormat="false" ht="15" hidden="false" customHeight="false" outlineLevel="0" collapsed="false">
      <c r="A155" s="1"/>
      <c r="G155" s="1"/>
      <c r="H155" s="1"/>
      <c r="J155" s="1"/>
      <c r="M155" s="23"/>
      <c r="N155" s="1"/>
      <c r="O155" s="23"/>
    </row>
    <row r="156" customFormat="false" ht="15" hidden="false" customHeight="false" outlineLevel="0" collapsed="false">
      <c r="A156" s="1"/>
      <c r="D156" s="1"/>
      <c r="F156" s="1"/>
      <c r="G156" s="1"/>
      <c r="H156" s="1"/>
      <c r="I156" s="1"/>
      <c r="J156" s="1"/>
      <c r="M156" s="23"/>
      <c r="N156" s="1"/>
      <c r="O156" s="23"/>
      <c r="P156" s="1"/>
    </row>
    <row r="157" customFormat="false" ht="15" hidden="false" customHeight="false" outlineLevel="0" collapsed="false">
      <c r="A157" s="1"/>
      <c r="D157" s="1"/>
      <c r="F157" s="1"/>
      <c r="G157" s="1"/>
      <c r="H157" s="1"/>
      <c r="I157" s="1"/>
      <c r="J157" s="1"/>
      <c r="M157" s="23"/>
      <c r="N157" s="1"/>
      <c r="O157" s="23"/>
      <c r="P157" s="1"/>
    </row>
    <row r="158" customFormat="false" ht="15" hidden="false" customHeight="false" outlineLevel="0" collapsed="false">
      <c r="G158" s="1"/>
    </row>
    <row r="159" customFormat="false" ht="15" hidden="false" customHeight="false" outlineLevel="0" collapsed="false">
      <c r="A159" s="1"/>
      <c r="D159" s="1"/>
      <c r="F159" s="1"/>
      <c r="G159" s="1"/>
      <c r="H159" s="1"/>
      <c r="I159" s="1"/>
      <c r="J159" s="1"/>
      <c r="M159" s="23"/>
      <c r="N159" s="1"/>
      <c r="O159" s="23"/>
      <c r="P159" s="1"/>
    </row>
    <row r="160" customFormat="false" ht="15" hidden="false" customHeight="false" outlineLevel="0" collapsed="false">
      <c r="A160" s="1"/>
      <c r="D160" s="1"/>
      <c r="F160" s="1"/>
      <c r="G160" s="1"/>
      <c r="H160" s="1"/>
      <c r="I160" s="1"/>
      <c r="J160" s="1"/>
      <c r="M160" s="23"/>
      <c r="N160" s="1"/>
      <c r="O160" s="23"/>
      <c r="P160" s="1"/>
    </row>
    <row r="161" customFormat="false" ht="15" hidden="false" customHeight="false" outlineLevel="0" collapsed="false">
      <c r="A161" s="1"/>
      <c r="D161" s="1"/>
      <c r="F161" s="1"/>
      <c r="G161" s="1"/>
      <c r="H161" s="1"/>
      <c r="I161" s="1"/>
      <c r="J161" s="1"/>
      <c r="M161" s="23"/>
      <c r="N161" s="1"/>
      <c r="O161" s="23"/>
      <c r="P161" s="1"/>
    </row>
    <row r="162" customFormat="false" ht="15" hidden="false" customHeight="false" outlineLevel="0" collapsed="false">
      <c r="A162" s="1"/>
      <c r="D162" s="1"/>
      <c r="F162" s="1"/>
      <c r="G162" s="1"/>
      <c r="H162" s="1"/>
      <c r="I162" s="1"/>
      <c r="J162" s="1"/>
      <c r="M162" s="23"/>
      <c r="N162" s="1"/>
      <c r="O162" s="23"/>
      <c r="P162" s="1"/>
    </row>
    <row r="163" customFormat="false" ht="15" hidden="false" customHeight="false" outlineLevel="0" collapsed="false">
      <c r="A163" s="1"/>
      <c r="D163" s="1"/>
      <c r="F163" s="1"/>
      <c r="G163" s="1"/>
      <c r="H163" s="1"/>
      <c r="I163" s="1"/>
      <c r="J163" s="1"/>
      <c r="M163" s="23"/>
      <c r="N163" s="1"/>
      <c r="O163" s="23"/>
      <c r="P163" s="1"/>
    </row>
    <row r="164" customFormat="false" ht="15" hidden="false" customHeight="false" outlineLevel="0" collapsed="false">
      <c r="A164" s="1"/>
      <c r="D164" s="1"/>
      <c r="F164" s="1"/>
      <c r="G164" s="1"/>
      <c r="H164" s="1"/>
      <c r="I164" s="1"/>
      <c r="J164" s="1"/>
      <c r="M164" s="23"/>
      <c r="N164" s="1"/>
      <c r="O164" s="23"/>
      <c r="P164" s="1"/>
    </row>
    <row r="165" customFormat="false" ht="15" hidden="false" customHeight="false" outlineLevel="0" collapsed="false">
      <c r="A165" s="1"/>
      <c r="D165" s="1"/>
      <c r="F165" s="1"/>
      <c r="G165" s="1"/>
      <c r="H165" s="1"/>
      <c r="J165" s="1"/>
      <c r="M165" s="23"/>
      <c r="N165" s="1"/>
      <c r="O165" s="23"/>
    </row>
    <row r="166" customFormat="false" ht="15" hidden="false" customHeight="false" outlineLevel="0" collapsed="false">
      <c r="A166" s="1"/>
      <c r="D166" s="1"/>
      <c r="F166" s="1"/>
      <c r="G166" s="1"/>
      <c r="H166" s="1"/>
      <c r="I166" s="1"/>
      <c r="J166" s="1"/>
      <c r="M166" s="23"/>
      <c r="N166" s="1"/>
      <c r="O166" s="23"/>
      <c r="P166" s="1"/>
    </row>
    <row r="167" customFormat="false" ht="15" hidden="false" customHeight="false" outlineLevel="0" collapsed="false">
      <c r="A167" s="1"/>
      <c r="D167" s="1"/>
      <c r="F167" s="1"/>
      <c r="G167" s="1"/>
      <c r="H167" s="1"/>
      <c r="I167" s="1"/>
      <c r="J167" s="1"/>
      <c r="M167" s="23"/>
      <c r="N167" s="1"/>
      <c r="O167" s="23"/>
      <c r="P167" s="1"/>
    </row>
    <row r="168" customFormat="false" ht="15" hidden="false" customHeight="false" outlineLevel="0" collapsed="false">
      <c r="A168" s="1"/>
      <c r="D168" s="1"/>
      <c r="F168" s="1"/>
      <c r="G168" s="1"/>
      <c r="H168" s="1"/>
      <c r="I168" s="1"/>
      <c r="J168" s="1"/>
      <c r="M168" s="23"/>
      <c r="N168" s="1"/>
      <c r="O168" s="23"/>
      <c r="P168" s="1"/>
    </row>
    <row r="169" customFormat="false" ht="15" hidden="false" customHeight="false" outlineLevel="0" collapsed="false">
      <c r="A169" s="1"/>
      <c r="D169" s="1"/>
      <c r="F169" s="1"/>
      <c r="G169" s="1"/>
      <c r="H169" s="1"/>
      <c r="I169" s="1"/>
      <c r="J169" s="1"/>
      <c r="M169" s="23"/>
      <c r="N169" s="1"/>
      <c r="O169" s="23"/>
      <c r="P169" s="1"/>
    </row>
    <row r="170" customFormat="false" ht="15" hidden="false" customHeight="false" outlineLevel="0" collapsed="false">
      <c r="A170" s="1"/>
      <c r="D170" s="1"/>
      <c r="G170" s="1"/>
      <c r="H170" s="1"/>
      <c r="J170" s="1"/>
      <c r="M170" s="23"/>
      <c r="N170" s="1"/>
      <c r="O170" s="23"/>
    </row>
    <row r="171" customFormat="false" ht="15" hidden="false" customHeight="false" outlineLevel="0" collapsed="false">
      <c r="A171" s="1"/>
      <c r="D171" s="1"/>
      <c r="F171" s="1"/>
      <c r="G171" s="1"/>
      <c r="H171" s="1"/>
      <c r="I171" s="1"/>
      <c r="J171" s="1"/>
      <c r="M171" s="23"/>
      <c r="N171" s="1"/>
      <c r="O171" s="23"/>
      <c r="P171" s="1"/>
    </row>
    <row r="172" customFormat="false" ht="15" hidden="false" customHeight="false" outlineLevel="0" collapsed="false">
      <c r="A172" s="1"/>
      <c r="D172" s="1"/>
      <c r="F172" s="1"/>
      <c r="G172" s="1"/>
      <c r="H172" s="1"/>
      <c r="J172" s="1"/>
      <c r="M172" s="23"/>
      <c r="N172" s="1"/>
      <c r="O172" s="23"/>
    </row>
    <row r="173" customFormat="false" ht="15" hidden="false" customHeight="false" outlineLevel="0" collapsed="false">
      <c r="A173" s="1"/>
      <c r="D173" s="1"/>
      <c r="F173" s="1"/>
      <c r="G173" s="1"/>
      <c r="H173" s="1"/>
      <c r="J173" s="1"/>
      <c r="M173" s="23"/>
      <c r="N173" s="1"/>
      <c r="O173" s="23"/>
    </row>
    <row r="174" customFormat="false" ht="15" hidden="false" customHeight="false" outlineLevel="0" collapsed="false">
      <c r="A174" s="1"/>
      <c r="D174" s="1"/>
      <c r="F174" s="1"/>
      <c r="G174" s="1"/>
      <c r="H174" s="1"/>
      <c r="J174" s="1"/>
      <c r="M174" s="23"/>
      <c r="N174" s="1"/>
      <c r="O174" s="23"/>
    </row>
    <row r="175" customFormat="false" ht="15" hidden="false" customHeight="false" outlineLevel="0" collapsed="false">
      <c r="A175" s="1"/>
      <c r="D175" s="1"/>
      <c r="F175" s="1"/>
      <c r="G175" s="1"/>
      <c r="H175" s="1"/>
      <c r="I175" s="1"/>
      <c r="J175" s="1"/>
      <c r="M175" s="23"/>
      <c r="N175" s="1"/>
      <c r="O175" s="23"/>
    </row>
    <row r="176" customFormat="false" ht="15" hidden="false" customHeight="false" outlineLevel="0" collapsed="false">
      <c r="A176" s="1"/>
      <c r="D176" s="1"/>
      <c r="F176" s="1"/>
      <c r="G176" s="1"/>
      <c r="H176" s="1"/>
      <c r="I176" s="1"/>
      <c r="J176" s="1"/>
      <c r="M176" s="23"/>
      <c r="N176" s="1"/>
      <c r="O176" s="23"/>
    </row>
    <row r="177" customFormat="false" ht="15" hidden="false" customHeight="false" outlineLevel="0" collapsed="false">
      <c r="G177" s="1"/>
    </row>
    <row r="178" customFormat="false" ht="15" hidden="false" customHeight="false" outlineLevel="0" collapsed="false">
      <c r="A178" s="1"/>
      <c r="D178" s="1"/>
      <c r="F178" s="1"/>
      <c r="G178" s="1"/>
      <c r="H178" s="1"/>
      <c r="I178" s="1"/>
      <c r="J178" s="1"/>
      <c r="M178" s="23"/>
      <c r="N178" s="1"/>
      <c r="O178" s="23"/>
    </row>
    <row r="179" customFormat="false" ht="15" hidden="false" customHeight="false" outlineLevel="0" collapsed="false">
      <c r="A179" s="1"/>
      <c r="D179" s="1"/>
      <c r="F179" s="1"/>
      <c r="G179" s="1"/>
      <c r="H179" s="1"/>
      <c r="I179" s="1"/>
      <c r="J179" s="1"/>
      <c r="M179" s="23"/>
      <c r="N179" s="1"/>
      <c r="O179" s="23"/>
    </row>
    <row r="180" customFormat="false" ht="15" hidden="false" customHeight="false" outlineLevel="0" collapsed="false">
      <c r="A180" s="1"/>
      <c r="D180" s="1"/>
      <c r="F180" s="1"/>
      <c r="G180" s="1"/>
      <c r="H180" s="1"/>
      <c r="J180" s="1"/>
      <c r="M180" s="23"/>
      <c r="N180" s="1"/>
    </row>
    <row r="181" customFormat="false" ht="15" hidden="false" customHeight="false" outlineLevel="0" collapsed="false">
      <c r="A181" s="1"/>
      <c r="D181" s="1"/>
      <c r="F181" s="1"/>
      <c r="G181" s="1"/>
      <c r="H181" s="1"/>
      <c r="I181" s="1"/>
      <c r="J181" s="1"/>
      <c r="M181" s="23"/>
      <c r="N181" s="1"/>
      <c r="O181" s="23"/>
    </row>
    <row r="182" customFormat="false" ht="15" hidden="false" customHeight="false" outlineLevel="0" collapsed="false">
      <c r="A182" s="1"/>
      <c r="D182" s="1"/>
      <c r="F182" s="1"/>
      <c r="G182" s="1"/>
      <c r="H182" s="1"/>
      <c r="J182" s="1"/>
      <c r="M182" s="23"/>
      <c r="N182" s="1"/>
      <c r="O182" s="23"/>
    </row>
    <row r="183" customFormat="false" ht="15" hidden="false" customHeight="false" outlineLevel="0" collapsed="false">
      <c r="A183" s="1"/>
      <c r="D183" s="1"/>
      <c r="F183" s="1"/>
      <c r="G183" s="1"/>
      <c r="H183" s="1"/>
      <c r="I183" s="1"/>
      <c r="J183" s="1"/>
      <c r="M183" s="23"/>
      <c r="N183" s="1"/>
      <c r="O183" s="23"/>
    </row>
    <row r="184" customFormat="false" ht="15" hidden="false" customHeight="false" outlineLevel="0" collapsed="false">
      <c r="A184" s="1"/>
      <c r="D184" s="1"/>
      <c r="F184" s="1"/>
      <c r="G184" s="1"/>
      <c r="H184" s="1"/>
      <c r="J184" s="1"/>
      <c r="M184" s="23"/>
      <c r="N184" s="1"/>
      <c r="O184" s="23"/>
    </row>
    <row r="185" customFormat="false" ht="15" hidden="false" customHeight="false" outlineLevel="0" collapsed="false">
      <c r="A185" s="1"/>
      <c r="D185" s="1"/>
      <c r="F185" s="1"/>
      <c r="G185" s="1"/>
      <c r="H185" s="1"/>
      <c r="I185" s="1"/>
      <c r="J185" s="1"/>
      <c r="M185" s="23"/>
      <c r="N185" s="1"/>
      <c r="O185" s="23"/>
    </row>
    <row r="186" customFormat="false" ht="15" hidden="false" customHeight="false" outlineLevel="0" collapsed="false">
      <c r="A186" s="1"/>
      <c r="D186" s="1"/>
      <c r="F186" s="1"/>
      <c r="G186" s="1"/>
      <c r="H186" s="1"/>
      <c r="J186" s="1"/>
      <c r="M186" s="23"/>
      <c r="N186" s="1"/>
      <c r="O186" s="23"/>
    </row>
    <row r="187" customFormat="false" ht="15" hidden="false" customHeight="false" outlineLevel="0" collapsed="false">
      <c r="A187" s="1"/>
      <c r="D187" s="1"/>
      <c r="F187" s="1"/>
      <c r="G187" s="1"/>
      <c r="H187" s="1"/>
      <c r="J187" s="1"/>
      <c r="M187" s="23"/>
      <c r="N187" s="1"/>
      <c r="O187" s="23"/>
    </row>
    <row r="188" customFormat="false" ht="15" hidden="false" customHeight="false" outlineLevel="0" collapsed="false">
      <c r="A188" s="1"/>
      <c r="D188" s="1"/>
      <c r="F188" s="1"/>
      <c r="G188" s="1"/>
      <c r="H188" s="1"/>
      <c r="I188" s="1"/>
      <c r="J188" s="1"/>
      <c r="M188" s="23"/>
      <c r="N188" s="1"/>
      <c r="O188" s="23"/>
    </row>
    <row r="189" customFormat="false" ht="15" hidden="false" customHeight="false" outlineLevel="0" collapsed="false">
      <c r="A189" s="1"/>
      <c r="G189" s="1"/>
      <c r="H189" s="1"/>
      <c r="J189" s="1"/>
      <c r="M189" s="23"/>
      <c r="N189" s="1"/>
      <c r="O189" s="23"/>
    </row>
    <row r="190" customFormat="false" ht="15" hidden="false" customHeight="false" outlineLevel="0" collapsed="false">
      <c r="A190" s="1"/>
      <c r="D190" s="1"/>
      <c r="F190" s="1"/>
      <c r="G190" s="1"/>
      <c r="H190" s="1"/>
      <c r="I190" s="1"/>
      <c r="J190" s="1"/>
      <c r="M190" s="23"/>
      <c r="N190" s="1"/>
      <c r="O190" s="23"/>
    </row>
    <row r="191" customFormat="false" ht="15" hidden="false" customHeight="false" outlineLevel="0" collapsed="false">
      <c r="A191" s="1"/>
      <c r="D191" s="1"/>
      <c r="F191" s="1"/>
      <c r="H191" s="1"/>
      <c r="J191" s="1"/>
      <c r="M191" s="23"/>
      <c r="N191" s="1"/>
      <c r="O191" s="23"/>
    </row>
    <row r="192" customFormat="false" ht="15" hidden="false" customHeight="false" outlineLevel="0" collapsed="false">
      <c r="A192" s="1"/>
      <c r="D192" s="1"/>
      <c r="H192" s="1"/>
      <c r="J192" s="1"/>
      <c r="M192" s="23"/>
      <c r="N192" s="1"/>
      <c r="O192" s="23"/>
    </row>
    <row r="193" customFormat="false" ht="15" hidden="false" customHeight="false" outlineLevel="0" collapsed="false">
      <c r="A193" s="1"/>
      <c r="D193" s="1"/>
      <c r="H193" s="1"/>
      <c r="J193" s="1"/>
      <c r="M193" s="23"/>
      <c r="N193" s="1"/>
      <c r="O193" s="23"/>
    </row>
    <row r="194" customFormat="false" ht="15" hidden="false" customHeight="false" outlineLevel="0" collapsed="false">
      <c r="A194" s="1"/>
      <c r="D194" s="1"/>
      <c r="H194" s="1"/>
      <c r="J194" s="1"/>
      <c r="M194" s="23"/>
      <c r="N194" s="1"/>
      <c r="O194" s="23"/>
    </row>
    <row r="195" customFormat="false" ht="15" hidden="false" customHeight="false" outlineLevel="0" collapsed="false">
      <c r="A195" s="1"/>
      <c r="D195" s="1"/>
      <c r="H195" s="1"/>
      <c r="J195" s="1"/>
      <c r="M195" s="23"/>
      <c r="N195" s="1"/>
      <c r="O195" s="23"/>
    </row>
    <row r="196" customFormat="false" ht="15" hidden="false" customHeight="false" outlineLevel="0" collapsed="false">
      <c r="A196" s="1"/>
      <c r="H196" s="1"/>
      <c r="J196" s="1"/>
      <c r="M196" s="23"/>
      <c r="N196" s="1"/>
      <c r="O196" s="23"/>
    </row>
    <row r="197" customFormat="false" ht="15" hidden="false" customHeight="false" outlineLevel="0" collapsed="false">
      <c r="H197" s="1"/>
      <c r="J197" s="1"/>
      <c r="N197" s="1"/>
    </row>
    <row r="198" customFormat="false" ht="15" hidden="false" customHeight="false" outlineLevel="0" collapsed="false">
      <c r="H198" s="1"/>
      <c r="J198" s="1"/>
      <c r="N198" s="1"/>
    </row>
    <row r="199" customFormat="false" ht="15" hidden="false" customHeight="false" outlineLevel="0" collapsed="false">
      <c r="H199" s="1"/>
      <c r="J199" s="1"/>
      <c r="N199" s="1"/>
    </row>
    <row r="200" customFormat="false" ht="15" hidden="false" customHeight="false" outlineLevel="0" collapsed="false">
      <c r="H200" s="1"/>
      <c r="J200" s="1"/>
      <c r="N200" s="1"/>
    </row>
    <row r="201" customFormat="false" ht="15" hidden="false" customHeight="false" outlineLevel="0" collapsed="false">
      <c r="H201" s="1"/>
      <c r="J201" s="1"/>
      <c r="N201" s="1"/>
    </row>
  </sheetData>
  <conditionalFormatting sqref="N103">
    <cfRule type="containsText" priority="2" operator="containsText" aboveAverage="0" equalAverage="0" bottom="0" percent="0" rank="0" text="a serrar" dxfId="1655">
      <formula>NOT(ISERROR(SEARCH("a serrar",N103)))</formula>
    </cfRule>
    <cfRule type="containsText" priority="3" operator="containsText" aboveAverage="0" equalAverage="0" bottom="0" percent="0" rank="0" text="pronto" dxfId="1656">
      <formula>NOT(ISERROR(SEARCH("pronto",N103)))</formula>
    </cfRule>
    <cfRule type="containsText" priority="4" operator="containsText" aboveAverage="0" equalAverage="0" bottom="0" percent="0" rank="0" text="empreita" dxfId="1657">
      <formula>NOT(ISERROR(SEARCH("empreita",N103)))</formula>
    </cfRule>
    <cfRule type="containsText" priority="5" operator="containsText" aboveAverage="0" equalAverage="0" bottom="0" percent="0" rank="0" text="previsto" dxfId="1658">
      <formula>NOT(ISERROR(SEARCH("previsto",N103)))</formula>
    </cfRule>
    <cfRule type="containsText" priority="6" operator="containsText" aboveAverage="0" equalAverage="0" bottom="0" percent="0" rank="0" text="produzindo" dxfId="1659">
      <formula>NOT(ISERROR(SEARCH("produzindo",N103)))</formula>
    </cfRule>
    <cfRule type="containsText" priority="7" operator="containsText" aboveAverage="0" equalAverage="0" bottom="0" percent="0" rank="0" text="material ok" dxfId="1660">
      <formula>NOT(ISERROR(SEARCH("material ok",N103)))</formula>
    </cfRule>
    <cfRule type="containsText" priority="8" operator="containsText" aboveAverage="0" equalAverage="0" bottom="0" percent="0" rank="0" text="a montar" dxfId="1661">
      <formula>NOT(ISERROR(SEARCH("a montar",N103)))</formula>
    </cfRule>
    <cfRule type="containsText" priority="9" operator="containsText" aboveAverage="0" equalAverage="0" bottom="0" percent="0" rank="0" text="a serrar" dxfId="1662">
      <formula>NOT(ISERROR(SEARCH("a serrar",N103)))</formula>
    </cfRule>
    <cfRule type="containsText" priority="10" operator="containsText" aboveAverage="0" equalAverage="0" bottom="0" percent="0" rank="0" text="pronto" dxfId="1663">
      <formula>NOT(ISERROR(SEARCH("pronto",N103)))</formula>
    </cfRule>
    <cfRule type="containsText" priority="11" operator="containsText" aboveAverage="0" equalAverage="0" bottom="0" percent="0" rank="0" text="empreita" dxfId="1664">
      <formula>NOT(ISERROR(SEARCH("empreita",N103)))</formula>
    </cfRule>
    <cfRule type="containsText" priority="12" operator="containsText" aboveAverage="0" equalAverage="0" bottom="0" percent="0" rank="0" text="previsto" dxfId="1665">
      <formula>NOT(ISERROR(SEARCH("previsto",N103)))</formula>
    </cfRule>
    <cfRule type="containsText" priority="13" operator="containsText" aboveAverage="0" equalAverage="0" bottom="0" percent="0" rank="0" text="produzindo" dxfId="1666">
      <formula>NOT(ISERROR(SEARCH("produzindo",N103)))</formula>
    </cfRule>
    <cfRule type="containsText" priority="14" operator="containsText" aboveAverage="0" equalAverage="0" bottom="0" percent="0" rank="0" text="material ok" dxfId="1667">
      <formula>NOT(ISERROR(SEARCH("material ok",N103)))</formula>
    </cfRule>
    <cfRule type="containsText" priority="15" operator="containsText" aboveAverage="0" equalAverage="0" bottom="0" percent="0" rank="0" text="a serrar" dxfId="1668">
      <formula>NOT(ISERROR(SEARCH("a serrar",N103)))</formula>
    </cfRule>
    <cfRule type="containsText" priority="16" operator="containsText" aboveAverage="0" equalAverage="0" bottom="0" percent="0" rank="0" text="pronto" dxfId="1669">
      <formula>NOT(ISERROR(SEARCH("pronto",N103)))</formula>
    </cfRule>
    <cfRule type="containsText" priority="17" operator="containsText" aboveAverage="0" equalAverage="0" bottom="0" percent="0" rank="0" text="empreita" dxfId="1670">
      <formula>NOT(ISERROR(SEARCH("empreita",N103)))</formula>
    </cfRule>
    <cfRule type="containsText" priority="18" operator="containsText" aboveAverage="0" equalAverage="0" bottom="0" percent="0" rank="0" text="previsto" dxfId="1671">
      <formula>NOT(ISERROR(SEARCH("previsto",N103)))</formula>
    </cfRule>
    <cfRule type="containsText" priority="19" operator="containsText" aboveAverage="0" equalAverage="0" bottom="0" percent="0" rank="0" text="produzindo" dxfId="1672">
      <formula>NOT(ISERROR(SEARCH("produzindo",N103)))</formula>
    </cfRule>
    <cfRule type="containsText" priority="20" operator="containsText" aboveAverage="0" equalAverage="0" bottom="0" percent="0" rank="0" text="material ok" dxfId="1673">
      <formula>NOT(ISERROR(SEARCH("material ok",N103)))</formula>
    </cfRule>
    <cfRule type="containsText" priority="21" operator="containsText" aboveAverage="0" equalAverage="0" bottom="0" percent="0" rank="0" text="a montar" dxfId="1674">
      <formula>NOT(ISERROR(SEARCH("a montar",N103)))</formula>
    </cfRule>
    <cfRule type="containsText" priority="22" operator="containsText" aboveAverage="0" equalAverage="0" bottom="0" percent="0" rank="0" text="a serrar" dxfId="1675">
      <formula>NOT(ISERROR(SEARCH("a serrar",N103)))</formula>
    </cfRule>
    <cfRule type="containsText" priority="23" operator="containsText" aboveAverage="0" equalAverage="0" bottom="0" percent="0" rank="0" text="pronto" dxfId="1676">
      <formula>NOT(ISERROR(SEARCH("pronto",N103)))</formula>
    </cfRule>
    <cfRule type="containsText" priority="24" operator="containsText" aboveAverage="0" equalAverage="0" bottom="0" percent="0" rank="0" text="empreita" dxfId="1677">
      <formula>NOT(ISERROR(SEARCH("empreita",N103)))</formula>
    </cfRule>
    <cfRule type="containsText" priority="25" operator="containsText" aboveAverage="0" equalAverage="0" bottom="0" percent="0" rank="0" text="previsto" dxfId="1678">
      <formula>NOT(ISERROR(SEARCH("previsto",N103)))</formula>
    </cfRule>
    <cfRule type="containsText" priority="26" operator="containsText" aboveAverage="0" equalAverage="0" bottom="0" percent="0" rank="0" text="produzindo" dxfId="1679">
      <formula>NOT(ISERROR(SEARCH("produzindo",N103)))</formula>
    </cfRule>
    <cfRule type="containsText" priority="27" operator="containsText" aboveAverage="0" equalAverage="0" bottom="0" percent="0" rank="0" text="material ok" dxfId="1680">
      <formula>NOT(ISERROR(SEARCH("material ok",N103)))</formula>
    </cfRule>
  </conditionalFormatting>
  <conditionalFormatting sqref="N94:N96">
    <cfRule type="containsText" priority="28" operator="containsText" aboveAverage="0" equalAverage="0" bottom="0" percent="0" rank="0" text="a serrar" dxfId="1681">
      <formula>NOT(ISERROR(SEARCH("a serrar",N94)))</formula>
    </cfRule>
    <cfRule type="containsText" priority="29" operator="containsText" aboveAverage="0" equalAverage="0" bottom="0" percent="0" rank="0" text="pronto" dxfId="1682">
      <formula>NOT(ISERROR(SEARCH("pronto",N94)))</formula>
    </cfRule>
    <cfRule type="containsText" priority="30" operator="containsText" aboveAverage="0" equalAverage="0" bottom="0" percent="0" rank="0" text="empreita" dxfId="1683">
      <formula>NOT(ISERROR(SEARCH("empreita",N94)))</formula>
    </cfRule>
    <cfRule type="containsText" priority="31" operator="containsText" aboveAverage="0" equalAverage="0" bottom="0" percent="0" rank="0" text="previsto" dxfId="1684">
      <formula>NOT(ISERROR(SEARCH("previsto",N94)))</formula>
    </cfRule>
    <cfRule type="containsText" priority="32" operator="containsText" aboveAverage="0" equalAverage="0" bottom="0" percent="0" rank="0" text="produzindo" dxfId="1685">
      <formula>NOT(ISERROR(SEARCH("produzindo",N94)))</formula>
    </cfRule>
    <cfRule type="containsText" priority="33" operator="containsText" aboveAverage="0" equalAverage="0" bottom="0" percent="0" rank="0" text="material ok" dxfId="1686">
      <formula>NOT(ISERROR(SEARCH("material ok",N94)))</formula>
    </cfRule>
    <cfRule type="containsText" priority="34" operator="containsText" aboveAverage="0" equalAverage="0" bottom="0" percent="0" rank="0" text="a montar" dxfId="1687">
      <formula>NOT(ISERROR(SEARCH("a montar",N94)))</formula>
    </cfRule>
    <cfRule type="containsText" priority="35" operator="containsText" aboveAverage="0" equalAverage="0" bottom="0" percent="0" rank="0" text="a serrar" dxfId="1688">
      <formula>NOT(ISERROR(SEARCH("a serrar",N94)))</formula>
    </cfRule>
    <cfRule type="containsText" priority="36" operator="containsText" aboveAverage="0" equalAverage="0" bottom="0" percent="0" rank="0" text="pronto" dxfId="1689">
      <formula>NOT(ISERROR(SEARCH("pronto",N94)))</formula>
    </cfRule>
    <cfRule type="containsText" priority="37" operator="containsText" aboveAverage="0" equalAverage="0" bottom="0" percent="0" rank="0" text="empreita" dxfId="1690">
      <formula>NOT(ISERROR(SEARCH("empreita",N94)))</formula>
    </cfRule>
    <cfRule type="containsText" priority="38" operator="containsText" aboveAverage="0" equalAverage="0" bottom="0" percent="0" rank="0" text="previsto" dxfId="1691">
      <formula>NOT(ISERROR(SEARCH("previsto",N94)))</formula>
    </cfRule>
    <cfRule type="containsText" priority="39" operator="containsText" aboveAverage="0" equalAverage="0" bottom="0" percent="0" rank="0" text="produzindo" dxfId="1692">
      <formula>NOT(ISERROR(SEARCH("produzindo",N94)))</formula>
    </cfRule>
    <cfRule type="containsText" priority="40" operator="containsText" aboveAverage="0" equalAverage="0" bottom="0" percent="0" rank="0" text="material ok" dxfId="1693">
      <formula>NOT(ISERROR(SEARCH("material ok",N94)))</formula>
    </cfRule>
    <cfRule type="containsText" priority="41" operator="containsText" aboveAverage="0" equalAverage="0" bottom="0" percent="0" rank="0" text="a serrar" dxfId="1694">
      <formula>NOT(ISERROR(SEARCH("a serrar",N94)))</formula>
    </cfRule>
    <cfRule type="containsText" priority="42" operator="containsText" aboveAverage="0" equalAverage="0" bottom="0" percent="0" rank="0" text="pronto" dxfId="1695">
      <formula>NOT(ISERROR(SEARCH("pronto",N94)))</formula>
    </cfRule>
    <cfRule type="containsText" priority="43" operator="containsText" aboveAverage="0" equalAverage="0" bottom="0" percent="0" rank="0" text="empreita" dxfId="1696">
      <formula>NOT(ISERROR(SEARCH("empreita",N94)))</formula>
    </cfRule>
    <cfRule type="containsText" priority="44" operator="containsText" aboveAverage="0" equalAverage="0" bottom="0" percent="0" rank="0" text="previsto" dxfId="1697">
      <formula>NOT(ISERROR(SEARCH("previsto",N94)))</formula>
    </cfRule>
    <cfRule type="containsText" priority="45" operator="containsText" aboveAverage="0" equalAverage="0" bottom="0" percent="0" rank="0" text="produzindo" dxfId="1698">
      <formula>NOT(ISERROR(SEARCH("produzindo",N94)))</formula>
    </cfRule>
    <cfRule type="containsText" priority="46" operator="containsText" aboveAverage="0" equalAverage="0" bottom="0" percent="0" rank="0" text="material ok" dxfId="1699">
      <formula>NOT(ISERROR(SEARCH("material ok",N94)))</formula>
    </cfRule>
    <cfRule type="containsText" priority="47" operator="containsText" aboveAverage="0" equalAverage="0" bottom="0" percent="0" rank="0" text="a montar" dxfId="1700">
      <formula>NOT(ISERROR(SEARCH("a montar",N94)))</formula>
    </cfRule>
    <cfRule type="containsText" priority="48" operator="containsText" aboveAverage="0" equalAverage="0" bottom="0" percent="0" rank="0" text="a serrar" dxfId="1701">
      <formula>NOT(ISERROR(SEARCH("a serrar",N94)))</formula>
    </cfRule>
    <cfRule type="containsText" priority="49" operator="containsText" aboveAverage="0" equalAverage="0" bottom="0" percent="0" rank="0" text="pronto" dxfId="1702">
      <formula>NOT(ISERROR(SEARCH("pronto",N94)))</formula>
    </cfRule>
    <cfRule type="containsText" priority="50" operator="containsText" aboveAverage="0" equalAverage="0" bottom="0" percent="0" rank="0" text="empreita" dxfId="1703">
      <formula>NOT(ISERROR(SEARCH("empreita",N94)))</formula>
    </cfRule>
    <cfRule type="containsText" priority="51" operator="containsText" aboveAverage="0" equalAverage="0" bottom="0" percent="0" rank="0" text="previsto" dxfId="1704">
      <formula>NOT(ISERROR(SEARCH("previsto",N94)))</formula>
    </cfRule>
    <cfRule type="containsText" priority="52" operator="containsText" aboveAverage="0" equalAverage="0" bottom="0" percent="0" rank="0" text="produzindo" dxfId="1705">
      <formula>NOT(ISERROR(SEARCH("produzindo",N94)))</formula>
    </cfRule>
    <cfRule type="containsText" priority="53" operator="containsText" aboveAverage="0" equalAverage="0" bottom="0" percent="0" rank="0" text="material ok" dxfId="1706">
      <formula>NOT(ISERROR(SEARCH("material ok",N94)))</formula>
    </cfRule>
  </conditionalFormatting>
  <conditionalFormatting sqref="N92">
    <cfRule type="containsText" priority="54" operator="containsText" aboveAverage="0" equalAverage="0" bottom="0" percent="0" rank="0" text="a serrar" dxfId="1707">
      <formula>NOT(ISERROR(SEARCH("a serrar",N92)))</formula>
    </cfRule>
    <cfRule type="containsText" priority="55" operator="containsText" aboveAverage="0" equalAverage="0" bottom="0" percent="0" rank="0" text="pronto" dxfId="1708">
      <formula>NOT(ISERROR(SEARCH("pronto",N92)))</formula>
    </cfRule>
    <cfRule type="containsText" priority="56" operator="containsText" aboveAverage="0" equalAverage="0" bottom="0" percent="0" rank="0" text="empreita" dxfId="1709">
      <formula>NOT(ISERROR(SEARCH("empreita",N92)))</formula>
    </cfRule>
    <cfRule type="containsText" priority="57" operator="containsText" aboveAverage="0" equalAverage="0" bottom="0" percent="0" rank="0" text="previsto" dxfId="1710">
      <formula>NOT(ISERROR(SEARCH("previsto",N92)))</formula>
    </cfRule>
    <cfRule type="containsText" priority="58" operator="containsText" aboveAverage="0" equalAverage="0" bottom="0" percent="0" rank="0" text="produzindo" dxfId="1711">
      <formula>NOT(ISERROR(SEARCH("produzindo",N92)))</formula>
    </cfRule>
    <cfRule type="containsText" priority="59" operator="containsText" aboveAverage="0" equalAverage="0" bottom="0" percent="0" rank="0" text="material ok" dxfId="1712">
      <formula>NOT(ISERROR(SEARCH("material ok",N92)))</formula>
    </cfRule>
    <cfRule type="containsText" priority="60" operator="containsText" aboveAverage="0" equalAverage="0" bottom="0" percent="0" rank="0" text="a montar" dxfId="1713">
      <formula>NOT(ISERROR(SEARCH("a montar",N92)))</formula>
    </cfRule>
    <cfRule type="containsText" priority="61" operator="containsText" aboveAverage="0" equalAverage="0" bottom="0" percent="0" rank="0" text="a serrar" dxfId="1714">
      <formula>NOT(ISERROR(SEARCH("a serrar",N92)))</formula>
    </cfRule>
    <cfRule type="containsText" priority="62" operator="containsText" aboveAverage="0" equalAverage="0" bottom="0" percent="0" rank="0" text="pronto" dxfId="1715">
      <formula>NOT(ISERROR(SEARCH("pronto",N92)))</formula>
    </cfRule>
    <cfRule type="containsText" priority="63" operator="containsText" aboveAverage="0" equalAverage="0" bottom="0" percent="0" rank="0" text="empreita" dxfId="1716">
      <formula>NOT(ISERROR(SEARCH("empreita",N92)))</formula>
    </cfRule>
    <cfRule type="containsText" priority="64" operator="containsText" aboveAverage="0" equalAverage="0" bottom="0" percent="0" rank="0" text="previsto" dxfId="1717">
      <formula>NOT(ISERROR(SEARCH("previsto",N92)))</formula>
    </cfRule>
    <cfRule type="containsText" priority="65" operator="containsText" aboveAverage="0" equalAverage="0" bottom="0" percent="0" rank="0" text="produzindo" dxfId="1718">
      <formula>NOT(ISERROR(SEARCH("produzindo",N92)))</formula>
    </cfRule>
    <cfRule type="containsText" priority="66" operator="containsText" aboveAverage="0" equalAverage="0" bottom="0" percent="0" rank="0" text="material ok" dxfId="1719">
      <formula>NOT(ISERROR(SEARCH("material ok",N92)))</formula>
    </cfRule>
    <cfRule type="containsText" priority="67" operator="containsText" aboveAverage="0" equalAverage="0" bottom="0" percent="0" rank="0" text="a serrar" dxfId="1720">
      <formula>NOT(ISERROR(SEARCH("a serrar",N92)))</formula>
    </cfRule>
    <cfRule type="containsText" priority="68" operator="containsText" aboveAverage="0" equalAverage="0" bottom="0" percent="0" rank="0" text="pronto" dxfId="1721">
      <formula>NOT(ISERROR(SEARCH("pronto",N92)))</formula>
    </cfRule>
    <cfRule type="containsText" priority="69" operator="containsText" aboveAverage="0" equalAverage="0" bottom="0" percent="0" rank="0" text="empreita" dxfId="1722">
      <formula>NOT(ISERROR(SEARCH("empreita",N92)))</formula>
    </cfRule>
    <cfRule type="containsText" priority="70" operator="containsText" aboveAverage="0" equalAverage="0" bottom="0" percent="0" rank="0" text="previsto" dxfId="1723">
      <formula>NOT(ISERROR(SEARCH("previsto",N92)))</formula>
    </cfRule>
    <cfRule type="containsText" priority="71" operator="containsText" aboveAverage="0" equalAverage="0" bottom="0" percent="0" rank="0" text="produzindo" dxfId="1724">
      <formula>NOT(ISERROR(SEARCH("produzindo",N92)))</formula>
    </cfRule>
    <cfRule type="containsText" priority="72" operator="containsText" aboveAverage="0" equalAverage="0" bottom="0" percent="0" rank="0" text="material ok" dxfId="1725">
      <formula>NOT(ISERROR(SEARCH("material ok",N92)))</formula>
    </cfRule>
    <cfRule type="containsText" priority="73" operator="containsText" aboveAverage="0" equalAverage="0" bottom="0" percent="0" rank="0" text="a montar" dxfId="1726">
      <formula>NOT(ISERROR(SEARCH("a montar",N92)))</formula>
    </cfRule>
    <cfRule type="containsText" priority="74" operator="containsText" aboveAverage="0" equalAverage="0" bottom="0" percent="0" rank="0" text="a serrar" dxfId="1727">
      <formula>NOT(ISERROR(SEARCH("a serrar",N92)))</formula>
    </cfRule>
    <cfRule type="containsText" priority="75" operator="containsText" aboveAverage="0" equalAverage="0" bottom="0" percent="0" rank="0" text="pronto" dxfId="1728">
      <formula>NOT(ISERROR(SEARCH("pronto",N92)))</formula>
    </cfRule>
    <cfRule type="containsText" priority="76" operator="containsText" aboveAverage="0" equalAverage="0" bottom="0" percent="0" rank="0" text="empreita" dxfId="1729">
      <formula>NOT(ISERROR(SEARCH("empreita",N92)))</formula>
    </cfRule>
    <cfRule type="containsText" priority="77" operator="containsText" aboveAverage="0" equalAverage="0" bottom="0" percent="0" rank="0" text="previsto" dxfId="1730">
      <formula>NOT(ISERROR(SEARCH("previsto",N92)))</formula>
    </cfRule>
    <cfRule type="containsText" priority="78" operator="containsText" aboveAverage="0" equalAverage="0" bottom="0" percent="0" rank="0" text="produzindo" dxfId="1731">
      <formula>NOT(ISERROR(SEARCH("produzindo",N92)))</formula>
    </cfRule>
    <cfRule type="containsText" priority="79" operator="containsText" aboveAverage="0" equalAverage="0" bottom="0" percent="0" rank="0" text="material ok" dxfId="1732">
      <formula>NOT(ISERROR(SEARCH("material ok",N92)))</formula>
    </cfRule>
  </conditionalFormatting>
  <conditionalFormatting sqref="N87">
    <cfRule type="containsText" priority="80" operator="containsText" aboveAverage="0" equalAverage="0" bottom="0" percent="0" rank="0" text="a serrar" dxfId="1733">
      <formula>NOT(ISERROR(SEARCH("a serrar",N87)))</formula>
    </cfRule>
    <cfRule type="containsText" priority="81" operator="containsText" aboveAverage="0" equalAverage="0" bottom="0" percent="0" rank="0" text="pronto" dxfId="1734">
      <formula>NOT(ISERROR(SEARCH("pronto",N87)))</formula>
    </cfRule>
    <cfRule type="containsText" priority="82" operator="containsText" aboveAverage="0" equalAverage="0" bottom="0" percent="0" rank="0" text="empreita" dxfId="1735">
      <formula>NOT(ISERROR(SEARCH("empreita",N87)))</formula>
    </cfRule>
    <cfRule type="containsText" priority="83" operator="containsText" aboveAverage="0" equalAverage="0" bottom="0" percent="0" rank="0" text="previsto" dxfId="1736">
      <formula>NOT(ISERROR(SEARCH("previsto",N87)))</formula>
    </cfRule>
    <cfRule type="containsText" priority="84" operator="containsText" aboveAverage="0" equalAverage="0" bottom="0" percent="0" rank="0" text="produzindo" dxfId="1737">
      <formula>NOT(ISERROR(SEARCH("produzindo",N87)))</formula>
    </cfRule>
    <cfRule type="containsText" priority="85" operator="containsText" aboveAverage="0" equalAverage="0" bottom="0" percent="0" rank="0" text="material ok" dxfId="1738">
      <formula>NOT(ISERROR(SEARCH("material ok",N87)))</formula>
    </cfRule>
    <cfRule type="containsText" priority="86" operator="containsText" aboveAverage="0" equalAverage="0" bottom="0" percent="0" rank="0" text="a montar" dxfId="1739">
      <formula>NOT(ISERROR(SEARCH("a montar",N87)))</formula>
    </cfRule>
    <cfRule type="containsText" priority="87" operator="containsText" aboveAverage="0" equalAverage="0" bottom="0" percent="0" rank="0" text="a serrar" dxfId="1740">
      <formula>NOT(ISERROR(SEARCH("a serrar",N87)))</formula>
    </cfRule>
    <cfRule type="containsText" priority="88" operator="containsText" aboveAverage="0" equalAverage="0" bottom="0" percent="0" rank="0" text="pronto" dxfId="1741">
      <formula>NOT(ISERROR(SEARCH("pronto",N87)))</formula>
    </cfRule>
    <cfRule type="containsText" priority="89" operator="containsText" aboveAverage="0" equalAverage="0" bottom="0" percent="0" rank="0" text="empreita" dxfId="1742">
      <formula>NOT(ISERROR(SEARCH("empreita",N87)))</formula>
    </cfRule>
    <cfRule type="containsText" priority="90" operator="containsText" aboveAverage="0" equalAverage="0" bottom="0" percent="0" rank="0" text="previsto" dxfId="1743">
      <formula>NOT(ISERROR(SEARCH("previsto",N87)))</formula>
    </cfRule>
    <cfRule type="containsText" priority="91" operator="containsText" aboveAverage="0" equalAverage="0" bottom="0" percent="0" rank="0" text="produzindo" dxfId="1744">
      <formula>NOT(ISERROR(SEARCH("produzindo",N87)))</formula>
    </cfRule>
    <cfRule type="containsText" priority="92" operator="containsText" aboveAverage="0" equalAverage="0" bottom="0" percent="0" rank="0" text="material ok" dxfId="1745">
      <formula>NOT(ISERROR(SEARCH("material ok",N87)))</formula>
    </cfRule>
    <cfRule type="containsText" priority="93" operator="containsText" aboveAverage="0" equalAverage="0" bottom="0" percent="0" rank="0" text="a serrar" dxfId="1746">
      <formula>NOT(ISERROR(SEARCH("a serrar",N87)))</formula>
    </cfRule>
    <cfRule type="containsText" priority="94" operator="containsText" aboveAverage="0" equalAverage="0" bottom="0" percent="0" rank="0" text="pronto" dxfId="1747">
      <formula>NOT(ISERROR(SEARCH("pronto",N87)))</formula>
    </cfRule>
    <cfRule type="containsText" priority="95" operator="containsText" aboveAverage="0" equalAverage="0" bottom="0" percent="0" rank="0" text="empreita" dxfId="1748">
      <formula>NOT(ISERROR(SEARCH("empreita",N87)))</formula>
    </cfRule>
    <cfRule type="containsText" priority="96" operator="containsText" aboveAverage="0" equalAverage="0" bottom="0" percent="0" rank="0" text="previsto" dxfId="1749">
      <formula>NOT(ISERROR(SEARCH("previsto",N87)))</formula>
    </cfRule>
    <cfRule type="containsText" priority="97" operator="containsText" aboveAverage="0" equalAverage="0" bottom="0" percent="0" rank="0" text="produzindo" dxfId="1750">
      <formula>NOT(ISERROR(SEARCH("produzindo",N87)))</formula>
    </cfRule>
    <cfRule type="containsText" priority="98" operator="containsText" aboveAverage="0" equalAverage="0" bottom="0" percent="0" rank="0" text="material ok" dxfId="1751">
      <formula>NOT(ISERROR(SEARCH("material ok",N87)))</formula>
    </cfRule>
    <cfRule type="containsText" priority="99" operator="containsText" aboveAverage="0" equalAverage="0" bottom="0" percent="0" rank="0" text="a montar" dxfId="1752">
      <formula>NOT(ISERROR(SEARCH("a montar",N87)))</formula>
    </cfRule>
    <cfRule type="containsText" priority="100" operator="containsText" aboveAverage="0" equalAverage="0" bottom="0" percent="0" rank="0" text="a serrar" dxfId="1753">
      <formula>NOT(ISERROR(SEARCH("a serrar",N87)))</formula>
    </cfRule>
    <cfRule type="containsText" priority="101" operator="containsText" aboveAverage="0" equalAverage="0" bottom="0" percent="0" rank="0" text="pronto" dxfId="1754">
      <formula>NOT(ISERROR(SEARCH("pronto",N87)))</formula>
    </cfRule>
    <cfRule type="containsText" priority="102" operator="containsText" aboveAverage="0" equalAverage="0" bottom="0" percent="0" rank="0" text="empreita" dxfId="1755">
      <formula>NOT(ISERROR(SEARCH("empreita",N87)))</formula>
    </cfRule>
    <cfRule type="containsText" priority="103" operator="containsText" aboveAverage="0" equalAverage="0" bottom="0" percent="0" rank="0" text="previsto" dxfId="1756">
      <formula>NOT(ISERROR(SEARCH("previsto",N87)))</formula>
    </cfRule>
    <cfRule type="containsText" priority="104" operator="containsText" aboveAverage="0" equalAverage="0" bottom="0" percent="0" rank="0" text="produzindo" dxfId="1757">
      <formula>NOT(ISERROR(SEARCH("produzindo",N87)))</formula>
    </cfRule>
    <cfRule type="containsText" priority="105" operator="containsText" aboveAverage="0" equalAverage="0" bottom="0" percent="0" rank="0" text="material ok" dxfId="1758">
      <formula>NOT(ISERROR(SEARCH("material ok",N87)))</formula>
    </cfRule>
  </conditionalFormatting>
  <conditionalFormatting sqref="N89:N90">
    <cfRule type="containsText" priority="106" operator="containsText" aboveAverage="0" equalAverage="0" bottom="0" percent="0" rank="0" text="a serrar" dxfId="1759">
      <formula>NOT(ISERROR(SEARCH("a serrar",N89)))</formula>
    </cfRule>
    <cfRule type="containsText" priority="107" operator="containsText" aboveAverage="0" equalAverage="0" bottom="0" percent="0" rank="0" text="pronto" dxfId="1760">
      <formula>NOT(ISERROR(SEARCH("pronto",N89)))</formula>
    </cfRule>
    <cfRule type="containsText" priority="108" operator="containsText" aboveAverage="0" equalAverage="0" bottom="0" percent="0" rank="0" text="empreita" dxfId="1761">
      <formula>NOT(ISERROR(SEARCH("empreita",N89)))</formula>
    </cfRule>
    <cfRule type="containsText" priority="109" operator="containsText" aboveAverage="0" equalAverage="0" bottom="0" percent="0" rank="0" text="previsto" dxfId="1762">
      <formula>NOT(ISERROR(SEARCH("previsto",N89)))</formula>
    </cfRule>
    <cfRule type="containsText" priority="110" operator="containsText" aboveAverage="0" equalAverage="0" bottom="0" percent="0" rank="0" text="produzindo" dxfId="1763">
      <formula>NOT(ISERROR(SEARCH("produzindo",N89)))</formula>
    </cfRule>
    <cfRule type="containsText" priority="111" operator="containsText" aboveAverage="0" equalAverage="0" bottom="0" percent="0" rank="0" text="material ok" dxfId="1764">
      <formula>NOT(ISERROR(SEARCH("material ok",N89)))</formula>
    </cfRule>
    <cfRule type="containsText" priority="112" operator="containsText" aboveAverage="0" equalAverage="0" bottom="0" percent="0" rank="0" text="a montar" dxfId="1765">
      <formula>NOT(ISERROR(SEARCH("a montar",N89)))</formula>
    </cfRule>
    <cfRule type="containsText" priority="113" operator="containsText" aboveAverage="0" equalAverage="0" bottom="0" percent="0" rank="0" text="a serrar" dxfId="1766">
      <formula>NOT(ISERROR(SEARCH("a serrar",N89)))</formula>
    </cfRule>
    <cfRule type="containsText" priority="114" operator="containsText" aboveAverage="0" equalAverage="0" bottom="0" percent="0" rank="0" text="pronto" dxfId="1767">
      <formula>NOT(ISERROR(SEARCH("pronto",N89)))</formula>
    </cfRule>
    <cfRule type="containsText" priority="115" operator="containsText" aboveAverage="0" equalAverage="0" bottom="0" percent="0" rank="0" text="empreita" dxfId="1768">
      <formula>NOT(ISERROR(SEARCH("empreita",N89)))</formula>
    </cfRule>
    <cfRule type="containsText" priority="116" operator="containsText" aboveAverage="0" equalAverage="0" bottom="0" percent="0" rank="0" text="previsto" dxfId="1769">
      <formula>NOT(ISERROR(SEARCH("previsto",N89)))</formula>
    </cfRule>
    <cfRule type="containsText" priority="117" operator="containsText" aboveAverage="0" equalAverage="0" bottom="0" percent="0" rank="0" text="produzindo" dxfId="1770">
      <formula>NOT(ISERROR(SEARCH("produzindo",N89)))</formula>
    </cfRule>
    <cfRule type="containsText" priority="118" operator="containsText" aboveAverage="0" equalAverage="0" bottom="0" percent="0" rank="0" text="material ok" dxfId="1771">
      <formula>NOT(ISERROR(SEARCH("material ok",N89)))</formula>
    </cfRule>
    <cfRule type="containsText" priority="119" operator="containsText" aboveAverage="0" equalAverage="0" bottom="0" percent="0" rank="0" text="a serrar" dxfId="1772">
      <formula>NOT(ISERROR(SEARCH("a serrar",N89)))</formula>
    </cfRule>
    <cfRule type="containsText" priority="120" operator="containsText" aboveAverage="0" equalAverage="0" bottom="0" percent="0" rank="0" text="pronto" dxfId="1773">
      <formula>NOT(ISERROR(SEARCH("pronto",N89)))</formula>
    </cfRule>
    <cfRule type="containsText" priority="121" operator="containsText" aboveAverage="0" equalAverage="0" bottom="0" percent="0" rank="0" text="empreita" dxfId="1774">
      <formula>NOT(ISERROR(SEARCH("empreita",N89)))</formula>
    </cfRule>
    <cfRule type="containsText" priority="122" operator="containsText" aboveAverage="0" equalAverage="0" bottom="0" percent="0" rank="0" text="previsto" dxfId="1775">
      <formula>NOT(ISERROR(SEARCH("previsto",N89)))</formula>
    </cfRule>
    <cfRule type="containsText" priority="123" operator="containsText" aboveAverage="0" equalAverage="0" bottom="0" percent="0" rank="0" text="produzindo" dxfId="1776">
      <formula>NOT(ISERROR(SEARCH("produzindo",N89)))</formula>
    </cfRule>
    <cfRule type="containsText" priority="124" operator="containsText" aboveAverage="0" equalAverage="0" bottom="0" percent="0" rank="0" text="material ok" dxfId="1777">
      <formula>NOT(ISERROR(SEARCH("material ok",N89)))</formula>
    </cfRule>
    <cfRule type="containsText" priority="125" operator="containsText" aboveAverage="0" equalAverage="0" bottom="0" percent="0" rank="0" text="a montar" dxfId="1778">
      <formula>NOT(ISERROR(SEARCH("a montar",N89)))</formula>
    </cfRule>
    <cfRule type="containsText" priority="126" operator="containsText" aboveAverage="0" equalAverage="0" bottom="0" percent="0" rank="0" text="a serrar" dxfId="1779">
      <formula>NOT(ISERROR(SEARCH("a serrar",N89)))</formula>
    </cfRule>
    <cfRule type="containsText" priority="127" operator="containsText" aboveAverage="0" equalAverage="0" bottom="0" percent="0" rank="0" text="pronto" dxfId="1780">
      <formula>NOT(ISERROR(SEARCH("pronto",N89)))</formula>
    </cfRule>
    <cfRule type="containsText" priority="128" operator="containsText" aboveAverage="0" equalAverage="0" bottom="0" percent="0" rank="0" text="empreita" dxfId="1781">
      <formula>NOT(ISERROR(SEARCH("empreita",N89)))</formula>
    </cfRule>
    <cfRule type="containsText" priority="129" operator="containsText" aboveAverage="0" equalAverage="0" bottom="0" percent="0" rank="0" text="previsto" dxfId="1782">
      <formula>NOT(ISERROR(SEARCH("previsto",N89)))</formula>
    </cfRule>
    <cfRule type="containsText" priority="130" operator="containsText" aboveAverage="0" equalAverage="0" bottom="0" percent="0" rank="0" text="produzindo" dxfId="1783">
      <formula>NOT(ISERROR(SEARCH("produzindo",N89)))</formula>
    </cfRule>
    <cfRule type="containsText" priority="131" operator="containsText" aboveAverage="0" equalAverage="0" bottom="0" percent="0" rank="0" text="material ok" dxfId="1784">
      <formula>NOT(ISERROR(SEARCH("material ok",N89)))</formula>
    </cfRule>
  </conditionalFormatting>
  <conditionalFormatting sqref="N98:N101">
    <cfRule type="containsText" priority="132" operator="containsText" aboveAverage="0" equalAverage="0" bottom="0" percent="0" rank="0" text="a serrar" dxfId="1785">
      <formula>NOT(ISERROR(SEARCH("a serrar",N98)))</formula>
    </cfRule>
    <cfRule type="containsText" priority="133" operator="containsText" aboveAverage="0" equalAverage="0" bottom="0" percent="0" rank="0" text="pronto" dxfId="1786">
      <formula>NOT(ISERROR(SEARCH("pronto",N98)))</formula>
    </cfRule>
    <cfRule type="containsText" priority="134" operator="containsText" aboveAverage="0" equalAverage="0" bottom="0" percent="0" rank="0" text="empreita" dxfId="1787">
      <formula>NOT(ISERROR(SEARCH("empreita",N98)))</formula>
    </cfRule>
    <cfRule type="containsText" priority="135" operator="containsText" aboveAverage="0" equalAverage="0" bottom="0" percent="0" rank="0" text="previsto" dxfId="1788">
      <formula>NOT(ISERROR(SEARCH("previsto",N98)))</formula>
    </cfRule>
    <cfRule type="containsText" priority="136" operator="containsText" aboveAverage="0" equalAverage="0" bottom="0" percent="0" rank="0" text="produzindo" dxfId="1789">
      <formula>NOT(ISERROR(SEARCH("produzindo",N98)))</formula>
    </cfRule>
    <cfRule type="containsText" priority="137" operator="containsText" aboveAverage="0" equalAverage="0" bottom="0" percent="0" rank="0" text="material ok" dxfId="1790">
      <formula>NOT(ISERROR(SEARCH("material ok",N98)))</formula>
    </cfRule>
    <cfRule type="containsText" priority="138" operator="containsText" aboveAverage="0" equalAverage="0" bottom="0" percent="0" rank="0" text="a montar" dxfId="1791">
      <formula>NOT(ISERROR(SEARCH("a montar",N98)))</formula>
    </cfRule>
    <cfRule type="containsText" priority="139" operator="containsText" aboveAverage="0" equalAverage="0" bottom="0" percent="0" rank="0" text="a serrar" dxfId="1792">
      <formula>NOT(ISERROR(SEARCH("a serrar",N98)))</formula>
    </cfRule>
    <cfRule type="containsText" priority="140" operator="containsText" aboveAverage="0" equalAverage="0" bottom="0" percent="0" rank="0" text="pronto" dxfId="1793">
      <formula>NOT(ISERROR(SEARCH("pronto",N98)))</formula>
    </cfRule>
    <cfRule type="containsText" priority="141" operator="containsText" aboveAverage="0" equalAverage="0" bottom="0" percent="0" rank="0" text="empreita" dxfId="1794">
      <formula>NOT(ISERROR(SEARCH("empreita",N98)))</formula>
    </cfRule>
    <cfRule type="containsText" priority="142" operator="containsText" aboveAverage="0" equalAverage="0" bottom="0" percent="0" rank="0" text="previsto" dxfId="1795">
      <formula>NOT(ISERROR(SEARCH("previsto",N98)))</formula>
    </cfRule>
    <cfRule type="containsText" priority="143" operator="containsText" aboveAverage="0" equalAverage="0" bottom="0" percent="0" rank="0" text="produzindo" dxfId="1796">
      <formula>NOT(ISERROR(SEARCH("produzindo",N98)))</formula>
    </cfRule>
    <cfRule type="containsText" priority="144" operator="containsText" aboveAverage="0" equalAverage="0" bottom="0" percent="0" rank="0" text="material ok" dxfId="1797">
      <formula>NOT(ISERROR(SEARCH("material ok",N98)))</formula>
    </cfRule>
    <cfRule type="containsText" priority="145" operator="containsText" aboveAverage="0" equalAverage="0" bottom="0" percent="0" rank="0" text="a serrar" dxfId="1798">
      <formula>NOT(ISERROR(SEARCH("a serrar",N98)))</formula>
    </cfRule>
    <cfRule type="containsText" priority="146" operator="containsText" aboveAverage="0" equalAverage="0" bottom="0" percent="0" rank="0" text="pronto" dxfId="1799">
      <formula>NOT(ISERROR(SEARCH("pronto",N98)))</formula>
    </cfRule>
    <cfRule type="containsText" priority="147" operator="containsText" aboveAverage="0" equalAverage="0" bottom="0" percent="0" rank="0" text="empreita" dxfId="1800">
      <formula>NOT(ISERROR(SEARCH("empreita",N98)))</formula>
    </cfRule>
    <cfRule type="containsText" priority="148" operator="containsText" aboveAverage="0" equalAverage="0" bottom="0" percent="0" rank="0" text="previsto" dxfId="1801">
      <formula>NOT(ISERROR(SEARCH("previsto",N98)))</formula>
    </cfRule>
    <cfRule type="containsText" priority="149" operator="containsText" aboveAverage="0" equalAverage="0" bottom="0" percent="0" rank="0" text="produzindo" dxfId="1802">
      <formula>NOT(ISERROR(SEARCH("produzindo",N98)))</formula>
    </cfRule>
    <cfRule type="containsText" priority="150" operator="containsText" aboveAverage="0" equalAverage="0" bottom="0" percent="0" rank="0" text="material ok" dxfId="1803">
      <formula>NOT(ISERROR(SEARCH("material ok",N98)))</formula>
    </cfRule>
    <cfRule type="containsText" priority="151" operator="containsText" aboveAverage="0" equalAverage="0" bottom="0" percent="0" rank="0" text="a montar" dxfId="1804">
      <formula>NOT(ISERROR(SEARCH("a montar",N98)))</formula>
    </cfRule>
    <cfRule type="containsText" priority="152" operator="containsText" aboveAverage="0" equalAverage="0" bottom="0" percent="0" rank="0" text="a serrar" dxfId="1805">
      <formula>NOT(ISERROR(SEARCH("a serrar",N98)))</formula>
    </cfRule>
    <cfRule type="containsText" priority="153" operator="containsText" aboveAverage="0" equalAverage="0" bottom="0" percent="0" rank="0" text="pronto" dxfId="1806">
      <formula>NOT(ISERROR(SEARCH("pronto",N98)))</formula>
    </cfRule>
    <cfRule type="containsText" priority="154" operator="containsText" aboveAverage="0" equalAverage="0" bottom="0" percent="0" rank="0" text="empreita" dxfId="1807">
      <formula>NOT(ISERROR(SEARCH("empreita",N98)))</formula>
    </cfRule>
    <cfRule type="containsText" priority="155" operator="containsText" aboveAverage="0" equalAverage="0" bottom="0" percent="0" rank="0" text="previsto" dxfId="1808">
      <formula>NOT(ISERROR(SEARCH("previsto",N98)))</formula>
    </cfRule>
    <cfRule type="containsText" priority="156" operator="containsText" aboveAverage="0" equalAverage="0" bottom="0" percent="0" rank="0" text="produzindo" dxfId="1809">
      <formula>NOT(ISERROR(SEARCH("produzindo",N98)))</formula>
    </cfRule>
    <cfRule type="containsText" priority="157" operator="containsText" aboveAverage="0" equalAverage="0" bottom="0" percent="0" rank="0" text="material ok" dxfId="1810">
      <formula>NOT(ISERROR(SEARCH("material ok",N98)))</formula>
    </cfRule>
  </conditionalFormatting>
  <conditionalFormatting sqref="N116:N123">
    <cfRule type="containsText" priority="158" operator="containsText" aboveAverage="0" equalAverage="0" bottom="0" percent="0" rank="0" text="a montar" dxfId="1811">
      <formula>NOT(ISERROR(SEARCH("a montar",N116)))</formula>
    </cfRule>
    <cfRule type="containsText" priority="159" operator="containsText" aboveAverage="0" equalAverage="0" bottom="0" percent="0" rank="0" text="a serrar" dxfId="1812">
      <formula>NOT(ISERROR(SEARCH("a serrar",N116)))</formula>
    </cfRule>
    <cfRule type="containsText" priority="160" operator="containsText" aboveAverage="0" equalAverage="0" bottom="0" percent="0" rank="0" text="pronto" dxfId="1813">
      <formula>NOT(ISERROR(SEARCH("pronto",N116)))</formula>
    </cfRule>
    <cfRule type="containsText" priority="161" operator="containsText" aboveAverage="0" equalAverage="0" bottom="0" percent="0" rank="0" text="empreita" dxfId="1814">
      <formula>NOT(ISERROR(SEARCH("empreita",N116)))</formula>
    </cfRule>
    <cfRule type="containsText" priority="162" operator="containsText" aboveAverage="0" equalAverage="0" bottom="0" percent="0" rank="0" text="previsto" dxfId="1815">
      <formula>NOT(ISERROR(SEARCH("previsto",N116)))</formula>
    </cfRule>
    <cfRule type="containsText" priority="163" operator="containsText" aboveAverage="0" equalAverage="0" bottom="0" percent="0" rank="0" text="produzindo" dxfId="1816">
      <formula>NOT(ISERROR(SEARCH("produzindo",N116)))</formula>
    </cfRule>
    <cfRule type="containsText" priority="164" operator="containsText" aboveAverage="0" equalAverage="0" bottom="0" percent="0" rank="0" text="material ok" dxfId="1817">
      <formula>NOT(ISERROR(SEARCH("material ok",N116)))</formula>
    </cfRule>
  </conditionalFormatting>
  <conditionalFormatting sqref="N114">
    <cfRule type="containsText" priority="165" operator="containsText" aboveAverage="0" equalAverage="0" bottom="0" percent="0" rank="0" text="a montar" dxfId="1818">
      <formula>NOT(ISERROR(SEARCH("a montar",N114)))</formula>
    </cfRule>
    <cfRule type="containsText" priority="166" operator="containsText" aboveAverage="0" equalAverage="0" bottom="0" percent="0" rank="0" text="a serrar" dxfId="1819">
      <formula>NOT(ISERROR(SEARCH("a serrar",N114)))</formula>
    </cfRule>
    <cfRule type="containsText" priority="167" operator="containsText" aboveAverage="0" equalAverage="0" bottom="0" percent="0" rank="0" text="pronto" dxfId="1820">
      <formula>NOT(ISERROR(SEARCH("pronto",N114)))</formula>
    </cfRule>
    <cfRule type="containsText" priority="168" operator="containsText" aboveAverage="0" equalAverage="0" bottom="0" percent="0" rank="0" text="empreita" dxfId="1821">
      <formula>NOT(ISERROR(SEARCH("empreita",N114)))</formula>
    </cfRule>
    <cfRule type="containsText" priority="169" operator="containsText" aboveAverage="0" equalAverage="0" bottom="0" percent="0" rank="0" text="previsto" dxfId="1822">
      <formula>NOT(ISERROR(SEARCH("previsto",N114)))</formula>
    </cfRule>
    <cfRule type="containsText" priority="170" operator="containsText" aboveAverage="0" equalAverage="0" bottom="0" percent="0" rank="0" text="produzindo" dxfId="1823">
      <formula>NOT(ISERROR(SEARCH("produzindo",N114)))</formula>
    </cfRule>
    <cfRule type="containsText" priority="171" operator="containsText" aboveAverage="0" equalAverage="0" bottom="0" percent="0" rank="0" text="material ok" dxfId="1824">
      <formula>NOT(ISERROR(SEARCH("material ok",N114)))</formula>
    </cfRule>
  </conditionalFormatting>
  <conditionalFormatting sqref="N79:N85">
    <cfRule type="containsText" priority="172" operator="containsText" aboveAverage="0" equalAverage="0" bottom="0" percent="0" rank="0" text="a serrar" dxfId="1825">
      <formula>NOT(ISERROR(SEARCH("a serrar",N79)))</formula>
    </cfRule>
    <cfRule type="containsText" priority="173" operator="containsText" aboveAverage="0" equalAverage="0" bottom="0" percent="0" rank="0" text="pronto" dxfId="1826">
      <formula>NOT(ISERROR(SEARCH("pronto",N79)))</formula>
    </cfRule>
    <cfRule type="containsText" priority="174" operator="containsText" aboveAverage="0" equalAverage="0" bottom="0" percent="0" rank="0" text="empreita" dxfId="1827">
      <formula>NOT(ISERROR(SEARCH("empreita",N79)))</formula>
    </cfRule>
    <cfRule type="containsText" priority="175" operator="containsText" aboveAverage="0" equalAverage="0" bottom="0" percent="0" rank="0" text="previsto" dxfId="1828">
      <formula>NOT(ISERROR(SEARCH("previsto",N79)))</formula>
    </cfRule>
    <cfRule type="containsText" priority="176" operator="containsText" aboveAverage="0" equalAverage="0" bottom="0" percent="0" rank="0" text="produzindo" dxfId="1829">
      <formula>NOT(ISERROR(SEARCH("produzindo",N79)))</formula>
    </cfRule>
    <cfRule type="containsText" priority="177" operator="containsText" aboveAverage="0" equalAverage="0" bottom="0" percent="0" rank="0" text="material ok" dxfId="1830">
      <formula>NOT(ISERROR(SEARCH("material ok",N79)))</formula>
    </cfRule>
    <cfRule type="containsText" priority="178" operator="containsText" aboveAverage="0" equalAverage="0" bottom="0" percent="0" rank="0" text="a montar" dxfId="1831">
      <formula>NOT(ISERROR(SEARCH("a montar",N79)))</formula>
    </cfRule>
    <cfRule type="containsText" priority="179" operator="containsText" aboveAverage="0" equalAverage="0" bottom="0" percent="0" rank="0" text="a serrar" dxfId="1832">
      <formula>NOT(ISERROR(SEARCH("a serrar",N79)))</formula>
    </cfRule>
    <cfRule type="containsText" priority="180" operator="containsText" aboveAverage="0" equalAverage="0" bottom="0" percent="0" rank="0" text="pronto" dxfId="1833">
      <formula>NOT(ISERROR(SEARCH("pronto",N79)))</formula>
    </cfRule>
    <cfRule type="containsText" priority="181" operator="containsText" aboveAverage="0" equalAverage="0" bottom="0" percent="0" rank="0" text="empreita" dxfId="1834">
      <formula>NOT(ISERROR(SEARCH("empreita",N79)))</formula>
    </cfRule>
    <cfRule type="containsText" priority="182" operator="containsText" aboveAverage="0" equalAverage="0" bottom="0" percent="0" rank="0" text="previsto" dxfId="1835">
      <formula>NOT(ISERROR(SEARCH("previsto",N79)))</formula>
    </cfRule>
    <cfRule type="containsText" priority="183" operator="containsText" aboveAverage="0" equalAverage="0" bottom="0" percent="0" rank="0" text="produzindo" dxfId="1836">
      <formula>NOT(ISERROR(SEARCH("produzindo",N79)))</formula>
    </cfRule>
    <cfRule type="containsText" priority="184" operator="containsText" aboveAverage="0" equalAverage="0" bottom="0" percent="0" rank="0" text="material ok" dxfId="1837">
      <formula>NOT(ISERROR(SEARCH("material ok",N79)))</formula>
    </cfRule>
    <cfRule type="containsText" priority="185" operator="containsText" aboveAverage="0" equalAverage="0" bottom="0" percent="0" rank="0" text="a serrar" dxfId="1838">
      <formula>NOT(ISERROR(SEARCH("a serrar",N79)))</formula>
    </cfRule>
    <cfRule type="containsText" priority="186" operator="containsText" aboveAverage="0" equalAverage="0" bottom="0" percent="0" rank="0" text="pronto" dxfId="1839">
      <formula>NOT(ISERROR(SEARCH("pronto",N79)))</formula>
    </cfRule>
    <cfRule type="containsText" priority="187" operator="containsText" aboveAverage="0" equalAverage="0" bottom="0" percent="0" rank="0" text="empreita" dxfId="1840">
      <formula>NOT(ISERROR(SEARCH("empreita",N79)))</formula>
    </cfRule>
    <cfRule type="containsText" priority="188" operator="containsText" aboveAverage="0" equalAverage="0" bottom="0" percent="0" rank="0" text="previsto" dxfId="1841">
      <formula>NOT(ISERROR(SEARCH("previsto",N79)))</formula>
    </cfRule>
    <cfRule type="containsText" priority="189" operator="containsText" aboveAverage="0" equalAverage="0" bottom="0" percent="0" rank="0" text="produzindo" dxfId="1842">
      <formula>NOT(ISERROR(SEARCH("produzindo",N79)))</formula>
    </cfRule>
    <cfRule type="containsText" priority="190" operator="containsText" aboveAverage="0" equalAverage="0" bottom="0" percent="0" rank="0" text="material ok" dxfId="1843">
      <formula>NOT(ISERROR(SEARCH("material ok",N79)))</formula>
    </cfRule>
    <cfRule type="containsText" priority="191" operator="containsText" aboveAverage="0" equalAverage="0" bottom="0" percent="0" rank="0" text="a montar" dxfId="1844">
      <formula>NOT(ISERROR(SEARCH("a montar",N79)))</formula>
    </cfRule>
  </conditionalFormatting>
  <conditionalFormatting sqref="N78:N85">
    <cfRule type="containsText" priority="192" operator="containsText" aboveAverage="0" equalAverage="0" bottom="0" percent="0" rank="0" text="a serrar" dxfId="1845">
      <formula>NOT(ISERROR(SEARCH("a serrar",N78)))</formula>
    </cfRule>
    <cfRule type="containsText" priority="193" operator="containsText" aboveAverage="0" equalAverage="0" bottom="0" percent="0" rank="0" text="pronto" dxfId="1846">
      <formula>NOT(ISERROR(SEARCH("pronto",N78)))</formula>
    </cfRule>
    <cfRule type="containsText" priority="194" operator="containsText" aboveAverage="0" equalAverage="0" bottom="0" percent="0" rank="0" text="empreita" dxfId="1847">
      <formula>NOT(ISERROR(SEARCH("empreita",N78)))</formula>
    </cfRule>
    <cfRule type="containsText" priority="195" operator="containsText" aboveAverage="0" equalAverage="0" bottom="0" percent="0" rank="0" text="previsto" dxfId="1848">
      <formula>NOT(ISERROR(SEARCH("previsto",N78)))</formula>
    </cfRule>
    <cfRule type="containsText" priority="196" operator="containsText" aboveAverage="0" equalAverage="0" bottom="0" percent="0" rank="0" text="produzindo" dxfId="1849">
      <formula>NOT(ISERROR(SEARCH("produzindo",N78)))</formula>
    </cfRule>
    <cfRule type="containsText" priority="197" operator="containsText" aboveAverage="0" equalAverage="0" bottom="0" percent="0" rank="0" text="material ok" dxfId="1850">
      <formula>NOT(ISERROR(SEARCH("material ok",N78)))</formula>
    </cfRule>
  </conditionalFormatting>
  <conditionalFormatting sqref="N78">
    <cfRule type="containsText" priority="198" operator="containsText" aboveAverage="0" equalAverage="0" bottom="0" percent="0" rank="0" text="a montar" dxfId="1851">
      <formula>NOT(ISERROR(SEARCH("a montar",N78)))</formula>
    </cfRule>
    <cfRule type="containsText" priority="199" operator="containsText" aboveAverage="0" equalAverage="0" bottom="0" percent="0" rank="0" text="a serrar" dxfId="1852">
      <formula>NOT(ISERROR(SEARCH("a serrar",N78)))</formula>
    </cfRule>
    <cfRule type="containsText" priority="200" operator="containsText" aboveAverage="0" equalAverage="0" bottom="0" percent="0" rank="0" text="pronto" dxfId="1853">
      <formula>NOT(ISERROR(SEARCH("pronto",N78)))</formula>
    </cfRule>
    <cfRule type="containsText" priority="201" operator="containsText" aboveAverage="0" equalAverage="0" bottom="0" percent="0" rank="0" text="empreita" dxfId="1854">
      <formula>NOT(ISERROR(SEARCH("empreita",N78)))</formula>
    </cfRule>
    <cfRule type="containsText" priority="202" operator="containsText" aboveAverage="0" equalAverage="0" bottom="0" percent="0" rank="0" text="previsto" dxfId="1855">
      <formula>NOT(ISERROR(SEARCH("previsto",N78)))</formula>
    </cfRule>
    <cfRule type="containsText" priority="203" operator="containsText" aboveAverage="0" equalAverage="0" bottom="0" percent="0" rank="0" text="produzindo" dxfId="1856">
      <formula>NOT(ISERROR(SEARCH("produzindo",N78)))</formula>
    </cfRule>
    <cfRule type="containsText" priority="204" operator="containsText" aboveAverage="0" equalAverage="0" bottom="0" percent="0" rank="0" text="material ok" dxfId="1857">
      <formula>NOT(ISERROR(SEARCH("material ok",N78)))</formula>
    </cfRule>
    <cfRule type="containsText" priority="205" operator="containsText" aboveAverage="0" equalAverage="0" bottom="0" percent="0" rank="0" text="a serrar" dxfId="1858">
      <formula>NOT(ISERROR(SEARCH("a serrar",N78)))</formula>
    </cfRule>
    <cfRule type="containsText" priority="206" operator="containsText" aboveAverage="0" equalAverage="0" bottom="0" percent="0" rank="0" text="pronto" dxfId="1859">
      <formula>NOT(ISERROR(SEARCH("pronto",N78)))</formula>
    </cfRule>
    <cfRule type="containsText" priority="207" operator="containsText" aboveAverage="0" equalAverage="0" bottom="0" percent="0" rank="0" text="empreita" dxfId="1860">
      <formula>NOT(ISERROR(SEARCH("empreita",N78)))</formula>
    </cfRule>
    <cfRule type="containsText" priority="208" operator="containsText" aboveAverage="0" equalAverage="0" bottom="0" percent="0" rank="0" text="previsto" dxfId="1861">
      <formula>NOT(ISERROR(SEARCH("previsto",N78)))</formula>
    </cfRule>
    <cfRule type="containsText" priority="209" operator="containsText" aboveAverage="0" equalAverage="0" bottom="0" percent="0" rank="0" text="produzindo" dxfId="1862">
      <formula>NOT(ISERROR(SEARCH("produzindo",N78)))</formula>
    </cfRule>
    <cfRule type="containsText" priority="210" operator="containsText" aboveAverage="0" equalAverage="0" bottom="0" percent="0" rank="0" text="material ok" dxfId="1863">
      <formula>NOT(ISERROR(SEARCH("material ok",N78)))</formula>
    </cfRule>
    <cfRule type="containsText" priority="211" operator="containsText" aboveAverage="0" equalAverage="0" bottom="0" percent="0" rank="0" text="a montar" dxfId="1864">
      <formula>NOT(ISERROR(SEARCH("a montar",N78)))</formula>
    </cfRule>
  </conditionalFormatting>
  <conditionalFormatting sqref="N76:N78">
    <cfRule type="containsText" priority="212" operator="containsText" aboveAverage="0" equalAverage="0" bottom="0" percent="0" rank="0" text="a serrar" dxfId="1865">
      <formula>NOT(ISERROR(SEARCH("a serrar",N76)))</formula>
    </cfRule>
    <cfRule type="containsText" priority="213" operator="containsText" aboveAverage="0" equalAverage="0" bottom="0" percent="0" rank="0" text="pronto" dxfId="1866">
      <formula>NOT(ISERROR(SEARCH("pronto",N76)))</formula>
    </cfRule>
    <cfRule type="containsText" priority="214" operator="containsText" aboveAverage="0" equalAverage="0" bottom="0" percent="0" rank="0" text="empreita" dxfId="1867">
      <formula>NOT(ISERROR(SEARCH("empreita",N76)))</formula>
    </cfRule>
    <cfRule type="containsText" priority="215" operator="containsText" aboveAverage="0" equalAverage="0" bottom="0" percent="0" rank="0" text="previsto" dxfId="1868">
      <formula>NOT(ISERROR(SEARCH("previsto",N76)))</formula>
    </cfRule>
    <cfRule type="containsText" priority="216" operator="containsText" aboveAverage="0" equalAverage="0" bottom="0" percent="0" rank="0" text="produzindo" dxfId="1869">
      <formula>NOT(ISERROR(SEARCH("produzindo",N76)))</formula>
    </cfRule>
    <cfRule type="containsText" priority="217" operator="containsText" aboveAverage="0" equalAverage="0" bottom="0" percent="0" rank="0" text="material ok" dxfId="1870">
      <formula>NOT(ISERROR(SEARCH("material ok",N76)))</formula>
    </cfRule>
  </conditionalFormatting>
  <conditionalFormatting sqref="N76:N77">
    <cfRule type="containsText" priority="218" operator="containsText" aboveAverage="0" equalAverage="0" bottom="0" percent="0" rank="0" text="a montar" dxfId="1871">
      <formula>NOT(ISERROR(SEARCH("a montar",N76)))</formula>
    </cfRule>
    <cfRule type="containsText" priority="219" operator="containsText" aboveAverage="0" equalAverage="0" bottom="0" percent="0" rank="0" text="a serrar" dxfId="1872">
      <formula>NOT(ISERROR(SEARCH("a serrar",N76)))</formula>
    </cfRule>
    <cfRule type="containsText" priority="220" operator="containsText" aboveAverage="0" equalAverage="0" bottom="0" percent="0" rank="0" text="pronto" dxfId="1873">
      <formula>NOT(ISERROR(SEARCH("pronto",N76)))</formula>
    </cfRule>
    <cfRule type="containsText" priority="221" operator="containsText" aboveAverage="0" equalAverage="0" bottom="0" percent="0" rank="0" text="empreita" dxfId="1874">
      <formula>NOT(ISERROR(SEARCH("empreita",N76)))</formula>
    </cfRule>
    <cfRule type="containsText" priority="222" operator="containsText" aboveAverage="0" equalAverage="0" bottom="0" percent="0" rank="0" text="previsto" dxfId="1875">
      <formula>NOT(ISERROR(SEARCH("previsto",N76)))</formula>
    </cfRule>
    <cfRule type="containsText" priority="223" operator="containsText" aboveAverage="0" equalAverage="0" bottom="0" percent="0" rank="0" text="produzindo" dxfId="1876">
      <formula>NOT(ISERROR(SEARCH("produzindo",N76)))</formula>
    </cfRule>
    <cfRule type="containsText" priority="224" operator="containsText" aboveAverage="0" equalAverage="0" bottom="0" percent="0" rank="0" text="material ok" dxfId="1877">
      <formula>NOT(ISERROR(SEARCH("material ok",N76)))</formula>
    </cfRule>
    <cfRule type="containsText" priority="225" operator="containsText" aboveAverage="0" equalAverage="0" bottom="0" percent="0" rank="0" text="a serrar" dxfId="1878">
      <formula>NOT(ISERROR(SEARCH("a serrar",N76)))</formula>
    </cfRule>
    <cfRule type="containsText" priority="226" operator="containsText" aboveAverage="0" equalAverage="0" bottom="0" percent="0" rank="0" text="pronto" dxfId="1879">
      <formula>NOT(ISERROR(SEARCH("pronto",N76)))</formula>
    </cfRule>
    <cfRule type="containsText" priority="227" operator="containsText" aboveAverage="0" equalAverage="0" bottom="0" percent="0" rank="0" text="empreita" dxfId="1880">
      <formula>NOT(ISERROR(SEARCH("empreita",N76)))</formula>
    </cfRule>
    <cfRule type="containsText" priority="228" operator="containsText" aboveAverage="0" equalAverage="0" bottom="0" percent="0" rank="0" text="previsto" dxfId="1881">
      <formula>NOT(ISERROR(SEARCH("previsto",N76)))</formula>
    </cfRule>
    <cfRule type="containsText" priority="229" operator="containsText" aboveAverage="0" equalAverage="0" bottom="0" percent="0" rank="0" text="produzindo" dxfId="1882">
      <formula>NOT(ISERROR(SEARCH("produzindo",N76)))</formula>
    </cfRule>
    <cfRule type="containsText" priority="230" operator="containsText" aboveAverage="0" equalAverage="0" bottom="0" percent="0" rank="0" text="material ok" dxfId="1883">
      <formula>NOT(ISERROR(SEARCH("material ok",N76)))</formula>
    </cfRule>
    <cfRule type="containsText" priority="231" operator="containsText" aboveAverage="0" equalAverage="0" bottom="0" percent="0" rank="0" text="a montar" dxfId="1884">
      <formula>NOT(ISERROR(SEARCH("a montar",N76)))</formula>
    </cfRule>
  </conditionalFormatting>
  <conditionalFormatting sqref="N75:N77">
    <cfRule type="containsText" priority="232" operator="containsText" aboveAverage="0" equalAverage="0" bottom="0" percent="0" rank="0" text="a serrar" dxfId="1885">
      <formula>NOT(ISERROR(SEARCH("a serrar",N75)))</formula>
    </cfRule>
    <cfRule type="containsText" priority="233" operator="containsText" aboveAverage="0" equalAverage="0" bottom="0" percent="0" rank="0" text="pronto" dxfId="1886">
      <formula>NOT(ISERROR(SEARCH("pronto",N75)))</formula>
    </cfRule>
    <cfRule type="containsText" priority="234" operator="containsText" aboveAverage="0" equalAverage="0" bottom="0" percent="0" rank="0" text="empreita" dxfId="1887">
      <formula>NOT(ISERROR(SEARCH("empreita",N75)))</formula>
    </cfRule>
    <cfRule type="containsText" priority="235" operator="containsText" aboveAverage="0" equalAverage="0" bottom="0" percent="0" rank="0" text="previsto" dxfId="1888">
      <formula>NOT(ISERROR(SEARCH("previsto",N75)))</formula>
    </cfRule>
    <cfRule type="containsText" priority="236" operator="containsText" aboveAverage="0" equalAverage="0" bottom="0" percent="0" rank="0" text="produzindo" dxfId="1889">
      <formula>NOT(ISERROR(SEARCH("produzindo",N75)))</formula>
    </cfRule>
    <cfRule type="containsText" priority="237" operator="containsText" aboveAverage="0" equalAverage="0" bottom="0" percent="0" rank="0" text="material ok" dxfId="1890">
      <formula>NOT(ISERROR(SEARCH("material ok",N75)))</formula>
    </cfRule>
  </conditionalFormatting>
  <conditionalFormatting sqref="N75">
    <cfRule type="containsText" priority="238" operator="containsText" aboveAverage="0" equalAverage="0" bottom="0" percent="0" rank="0" text="a montar" dxfId="1891">
      <formula>NOT(ISERROR(SEARCH("a montar",N75)))</formula>
    </cfRule>
    <cfRule type="containsText" priority="239" operator="containsText" aboveAverage="0" equalAverage="0" bottom="0" percent="0" rank="0" text="a serrar" dxfId="1892">
      <formula>NOT(ISERROR(SEARCH("a serrar",N75)))</formula>
    </cfRule>
    <cfRule type="containsText" priority="240" operator="containsText" aboveAverage="0" equalAverage="0" bottom="0" percent="0" rank="0" text="pronto" dxfId="1893">
      <formula>NOT(ISERROR(SEARCH("pronto",N75)))</formula>
    </cfRule>
    <cfRule type="containsText" priority="241" operator="containsText" aboveAverage="0" equalAverage="0" bottom="0" percent="0" rank="0" text="empreita" dxfId="1894">
      <formula>NOT(ISERROR(SEARCH("empreita",N75)))</formula>
    </cfRule>
    <cfRule type="containsText" priority="242" operator="containsText" aboveAverage="0" equalAverage="0" bottom="0" percent="0" rank="0" text="previsto" dxfId="1895">
      <formula>NOT(ISERROR(SEARCH("previsto",N75)))</formula>
    </cfRule>
    <cfRule type="containsText" priority="243" operator="containsText" aboveAverage="0" equalAverage="0" bottom="0" percent="0" rank="0" text="produzindo" dxfId="1896">
      <formula>NOT(ISERROR(SEARCH("produzindo",N75)))</formula>
    </cfRule>
    <cfRule type="containsText" priority="244" operator="containsText" aboveAverage="0" equalAverage="0" bottom="0" percent="0" rank="0" text="material ok" dxfId="1897">
      <formula>NOT(ISERROR(SEARCH("material ok",N75)))</formula>
    </cfRule>
    <cfRule type="containsText" priority="245" operator="containsText" aboveAverage="0" equalAverage="0" bottom="0" percent="0" rank="0" text="a serrar" dxfId="1898">
      <formula>NOT(ISERROR(SEARCH("a serrar",N75)))</formula>
    </cfRule>
    <cfRule type="containsText" priority="246" operator="containsText" aboveAverage="0" equalAverage="0" bottom="0" percent="0" rank="0" text="pronto" dxfId="1899">
      <formula>NOT(ISERROR(SEARCH("pronto",N75)))</formula>
    </cfRule>
    <cfRule type="containsText" priority="247" operator="containsText" aboveAverage="0" equalAverage="0" bottom="0" percent="0" rank="0" text="empreita" dxfId="1900">
      <formula>NOT(ISERROR(SEARCH("empreita",N75)))</formula>
    </cfRule>
    <cfRule type="containsText" priority="248" operator="containsText" aboveAverage="0" equalAverage="0" bottom="0" percent="0" rank="0" text="previsto" dxfId="1901">
      <formula>NOT(ISERROR(SEARCH("previsto",N75)))</formula>
    </cfRule>
    <cfRule type="containsText" priority="249" operator="containsText" aboveAverage="0" equalAverage="0" bottom="0" percent="0" rank="0" text="produzindo" dxfId="1902">
      <formula>NOT(ISERROR(SEARCH("produzindo",N75)))</formula>
    </cfRule>
    <cfRule type="containsText" priority="250" operator="containsText" aboveAverage="0" equalAverage="0" bottom="0" percent="0" rank="0" text="material ok" dxfId="1903">
      <formula>NOT(ISERROR(SEARCH("material ok",N75)))</formula>
    </cfRule>
    <cfRule type="containsText" priority="251" operator="containsText" aboveAverage="0" equalAverage="0" bottom="0" percent="0" rank="0" text="a montar" dxfId="1904">
      <formula>NOT(ISERROR(SEARCH("a montar",N75)))</formula>
    </cfRule>
  </conditionalFormatting>
  <conditionalFormatting sqref="N73:N75">
    <cfRule type="containsText" priority="252" operator="containsText" aboveAverage="0" equalAverage="0" bottom="0" percent="0" rank="0" text="a serrar" dxfId="1905">
      <formula>NOT(ISERROR(SEARCH("a serrar",N73)))</formula>
    </cfRule>
    <cfRule type="containsText" priority="253" operator="containsText" aboveAverage="0" equalAverage="0" bottom="0" percent="0" rank="0" text="pronto" dxfId="1906">
      <formula>NOT(ISERROR(SEARCH("pronto",N73)))</formula>
    </cfRule>
    <cfRule type="containsText" priority="254" operator="containsText" aboveAverage="0" equalAverage="0" bottom="0" percent="0" rank="0" text="empreita" dxfId="1907">
      <formula>NOT(ISERROR(SEARCH("empreita",N73)))</formula>
    </cfRule>
    <cfRule type="containsText" priority="255" operator="containsText" aboveAverage="0" equalAverage="0" bottom="0" percent="0" rank="0" text="previsto" dxfId="1908">
      <formula>NOT(ISERROR(SEARCH("previsto",N73)))</formula>
    </cfRule>
    <cfRule type="containsText" priority="256" operator="containsText" aboveAverage="0" equalAverage="0" bottom="0" percent="0" rank="0" text="produzindo" dxfId="1909">
      <formula>NOT(ISERROR(SEARCH("produzindo",N73)))</formula>
    </cfRule>
    <cfRule type="containsText" priority="257" operator="containsText" aboveAverage="0" equalAverage="0" bottom="0" percent="0" rank="0" text="material ok" dxfId="1910">
      <formula>NOT(ISERROR(SEARCH("material ok",N73)))</formula>
    </cfRule>
  </conditionalFormatting>
  <conditionalFormatting sqref="N73:N74">
    <cfRule type="containsText" priority="258" operator="containsText" aboveAverage="0" equalAverage="0" bottom="0" percent="0" rank="0" text="a montar" dxfId="1911">
      <formula>NOT(ISERROR(SEARCH("a montar",N73)))</formula>
    </cfRule>
    <cfRule type="containsText" priority="259" operator="containsText" aboveAverage="0" equalAverage="0" bottom="0" percent="0" rank="0" text="a serrar" dxfId="1912">
      <formula>NOT(ISERROR(SEARCH("a serrar",N73)))</formula>
    </cfRule>
    <cfRule type="containsText" priority="260" operator="containsText" aboveAverage="0" equalAverage="0" bottom="0" percent="0" rank="0" text="pronto" dxfId="1913">
      <formula>NOT(ISERROR(SEARCH("pronto",N73)))</formula>
    </cfRule>
    <cfRule type="containsText" priority="261" operator="containsText" aboveAverage="0" equalAverage="0" bottom="0" percent="0" rank="0" text="empreita" dxfId="1914">
      <formula>NOT(ISERROR(SEARCH("empreita",N73)))</formula>
    </cfRule>
    <cfRule type="containsText" priority="262" operator="containsText" aboveAverage="0" equalAverage="0" bottom="0" percent="0" rank="0" text="previsto" dxfId="1915">
      <formula>NOT(ISERROR(SEARCH("previsto",N73)))</formula>
    </cfRule>
    <cfRule type="containsText" priority="263" operator="containsText" aboveAverage="0" equalAverage="0" bottom="0" percent="0" rank="0" text="produzindo" dxfId="1916">
      <formula>NOT(ISERROR(SEARCH("produzindo",N73)))</formula>
    </cfRule>
    <cfRule type="containsText" priority="264" operator="containsText" aboveAverage="0" equalAverage="0" bottom="0" percent="0" rank="0" text="material ok" dxfId="1917">
      <formula>NOT(ISERROR(SEARCH("material ok",N73)))</formula>
    </cfRule>
    <cfRule type="containsText" priority="265" operator="containsText" aboveAverage="0" equalAverage="0" bottom="0" percent="0" rank="0" text="a serrar" dxfId="1918">
      <formula>NOT(ISERROR(SEARCH("a serrar",N73)))</formula>
    </cfRule>
    <cfRule type="containsText" priority="266" operator="containsText" aboveAverage="0" equalAverage="0" bottom="0" percent="0" rank="0" text="pronto" dxfId="1919">
      <formula>NOT(ISERROR(SEARCH("pronto",N73)))</formula>
    </cfRule>
    <cfRule type="containsText" priority="267" operator="containsText" aboveAverage="0" equalAverage="0" bottom="0" percent="0" rank="0" text="empreita" dxfId="1920">
      <formula>NOT(ISERROR(SEARCH("empreita",N73)))</formula>
    </cfRule>
    <cfRule type="containsText" priority="268" operator="containsText" aboveAverage="0" equalAverage="0" bottom="0" percent="0" rank="0" text="previsto" dxfId="1921">
      <formula>NOT(ISERROR(SEARCH("previsto",N73)))</formula>
    </cfRule>
    <cfRule type="containsText" priority="269" operator="containsText" aboveAverage="0" equalAverage="0" bottom="0" percent="0" rank="0" text="produzindo" dxfId="1922">
      <formula>NOT(ISERROR(SEARCH("produzindo",N73)))</formula>
    </cfRule>
    <cfRule type="containsText" priority="270" operator="containsText" aboveAverage="0" equalAverage="0" bottom="0" percent="0" rank="0" text="material ok" dxfId="1923">
      <formula>NOT(ISERROR(SEARCH("material ok",N73)))</formula>
    </cfRule>
    <cfRule type="containsText" priority="271" operator="containsText" aboveAverage="0" equalAverage="0" bottom="0" percent="0" rank="0" text="a montar" dxfId="1924">
      <formula>NOT(ISERROR(SEARCH("a montar",N73)))</formula>
    </cfRule>
  </conditionalFormatting>
  <conditionalFormatting sqref="N71:N74">
    <cfRule type="containsText" priority="272" operator="containsText" aboveAverage="0" equalAverage="0" bottom="0" percent="0" rank="0" text="a serrar" dxfId="1925">
      <formula>NOT(ISERROR(SEARCH("a serrar",N71)))</formula>
    </cfRule>
    <cfRule type="containsText" priority="273" operator="containsText" aboveAverage="0" equalAverage="0" bottom="0" percent="0" rank="0" text="pronto" dxfId="1926">
      <formula>NOT(ISERROR(SEARCH("pronto",N71)))</formula>
    </cfRule>
    <cfRule type="containsText" priority="274" operator="containsText" aboveAverage="0" equalAverage="0" bottom="0" percent="0" rank="0" text="empreita" dxfId="1927">
      <formula>NOT(ISERROR(SEARCH("empreita",N71)))</formula>
    </cfRule>
    <cfRule type="containsText" priority="275" operator="containsText" aboveAverage="0" equalAverage="0" bottom="0" percent="0" rank="0" text="previsto" dxfId="1928">
      <formula>NOT(ISERROR(SEARCH("previsto",N71)))</formula>
    </cfRule>
    <cfRule type="containsText" priority="276" operator="containsText" aboveAverage="0" equalAverage="0" bottom="0" percent="0" rank="0" text="produzindo" dxfId="1929">
      <formula>NOT(ISERROR(SEARCH("produzindo",N71)))</formula>
    </cfRule>
    <cfRule type="containsText" priority="277" operator="containsText" aboveAverage="0" equalAverage="0" bottom="0" percent="0" rank="0" text="material ok" dxfId="1930">
      <formula>NOT(ISERROR(SEARCH("material ok",N71)))</formula>
    </cfRule>
  </conditionalFormatting>
  <conditionalFormatting sqref="N71:N72">
    <cfRule type="containsText" priority="278" operator="containsText" aboveAverage="0" equalAverage="0" bottom="0" percent="0" rank="0" text="a montar" dxfId="1931">
      <formula>NOT(ISERROR(SEARCH("a montar",N71)))</formula>
    </cfRule>
    <cfRule type="containsText" priority="279" operator="containsText" aboveAverage="0" equalAverage="0" bottom="0" percent="0" rank="0" text="a serrar" dxfId="1932">
      <formula>NOT(ISERROR(SEARCH("a serrar",N71)))</formula>
    </cfRule>
    <cfRule type="containsText" priority="280" operator="containsText" aboveAverage="0" equalAverage="0" bottom="0" percent="0" rank="0" text="pronto" dxfId="1933">
      <formula>NOT(ISERROR(SEARCH("pronto",N71)))</formula>
    </cfRule>
    <cfRule type="containsText" priority="281" operator="containsText" aboveAverage="0" equalAverage="0" bottom="0" percent="0" rank="0" text="empreita" dxfId="1934">
      <formula>NOT(ISERROR(SEARCH("empreita",N71)))</formula>
    </cfRule>
    <cfRule type="containsText" priority="282" operator="containsText" aboveAverage="0" equalAverage="0" bottom="0" percent="0" rank="0" text="previsto" dxfId="1935">
      <formula>NOT(ISERROR(SEARCH("previsto",N71)))</formula>
    </cfRule>
    <cfRule type="containsText" priority="283" operator="containsText" aboveAverage="0" equalAverage="0" bottom="0" percent="0" rank="0" text="produzindo" dxfId="1936">
      <formula>NOT(ISERROR(SEARCH("produzindo",N71)))</formula>
    </cfRule>
    <cfRule type="containsText" priority="284" operator="containsText" aboveAverage="0" equalAverage="0" bottom="0" percent="0" rank="0" text="material ok" dxfId="1937">
      <formula>NOT(ISERROR(SEARCH("material ok",N71)))</formula>
    </cfRule>
    <cfRule type="containsText" priority="285" operator="containsText" aboveAverage="0" equalAverage="0" bottom="0" percent="0" rank="0" text="a serrar" dxfId="1938">
      <formula>NOT(ISERROR(SEARCH("a serrar",N71)))</formula>
    </cfRule>
    <cfRule type="containsText" priority="286" operator="containsText" aboveAverage="0" equalAverage="0" bottom="0" percent="0" rank="0" text="pronto" dxfId="1939">
      <formula>NOT(ISERROR(SEARCH("pronto",N71)))</formula>
    </cfRule>
    <cfRule type="containsText" priority="287" operator="containsText" aboveAverage="0" equalAverage="0" bottom="0" percent="0" rank="0" text="empreita" dxfId="1940">
      <formula>NOT(ISERROR(SEARCH("empreita",N71)))</formula>
    </cfRule>
    <cfRule type="containsText" priority="288" operator="containsText" aboveAverage="0" equalAverage="0" bottom="0" percent="0" rank="0" text="previsto" dxfId="1941">
      <formula>NOT(ISERROR(SEARCH("previsto",N71)))</formula>
    </cfRule>
    <cfRule type="containsText" priority="289" operator="containsText" aboveAverage="0" equalAverage="0" bottom="0" percent="0" rank="0" text="produzindo" dxfId="1942">
      <formula>NOT(ISERROR(SEARCH("produzindo",N71)))</formula>
    </cfRule>
    <cfRule type="containsText" priority="290" operator="containsText" aboveAverage="0" equalAverage="0" bottom="0" percent="0" rank="0" text="material ok" dxfId="1943">
      <formula>NOT(ISERROR(SEARCH("material ok",N71)))</formula>
    </cfRule>
    <cfRule type="containsText" priority="291" operator="containsText" aboveAverage="0" equalAverage="0" bottom="0" percent="0" rank="0" text="a montar" dxfId="1944">
      <formula>NOT(ISERROR(SEARCH("a montar",N71)))</formula>
    </cfRule>
  </conditionalFormatting>
  <conditionalFormatting sqref="N69:N72">
    <cfRule type="containsText" priority="292" operator="containsText" aboveAverage="0" equalAverage="0" bottom="0" percent="0" rank="0" text="a serrar" dxfId="1945">
      <formula>NOT(ISERROR(SEARCH("a serrar",N69)))</formula>
    </cfRule>
    <cfRule type="containsText" priority="293" operator="containsText" aboveAverage="0" equalAverage="0" bottom="0" percent="0" rank="0" text="pronto" dxfId="1946">
      <formula>NOT(ISERROR(SEARCH("pronto",N69)))</formula>
    </cfRule>
    <cfRule type="containsText" priority="294" operator="containsText" aboveAverage="0" equalAverage="0" bottom="0" percent="0" rank="0" text="empreita" dxfId="1947">
      <formula>NOT(ISERROR(SEARCH("empreita",N69)))</formula>
    </cfRule>
    <cfRule type="containsText" priority="295" operator="containsText" aboveAverage="0" equalAverage="0" bottom="0" percent="0" rank="0" text="previsto" dxfId="1948">
      <formula>NOT(ISERROR(SEARCH("previsto",N69)))</formula>
    </cfRule>
    <cfRule type="containsText" priority="296" operator="containsText" aboveAverage="0" equalAverage="0" bottom="0" percent="0" rank="0" text="produzindo" dxfId="1949">
      <formula>NOT(ISERROR(SEARCH("produzindo",N69)))</formula>
    </cfRule>
    <cfRule type="containsText" priority="297" operator="containsText" aboveAverage="0" equalAverage="0" bottom="0" percent="0" rank="0" text="material ok" dxfId="1950">
      <formula>NOT(ISERROR(SEARCH("material ok",N69)))</formula>
    </cfRule>
  </conditionalFormatting>
  <conditionalFormatting sqref="N69:N70">
    <cfRule type="containsText" priority="298" operator="containsText" aboveAverage="0" equalAverage="0" bottom="0" percent="0" rank="0" text="a montar" dxfId="1951">
      <formula>NOT(ISERROR(SEARCH("a montar",N69)))</formula>
    </cfRule>
    <cfRule type="containsText" priority="299" operator="containsText" aboveAverage="0" equalAverage="0" bottom="0" percent="0" rank="0" text="a serrar" dxfId="1952">
      <formula>NOT(ISERROR(SEARCH("a serrar",N69)))</formula>
    </cfRule>
    <cfRule type="containsText" priority="300" operator="containsText" aboveAverage="0" equalAverage="0" bottom="0" percent="0" rank="0" text="pronto" dxfId="1953">
      <formula>NOT(ISERROR(SEARCH("pronto",N69)))</formula>
    </cfRule>
    <cfRule type="containsText" priority="301" operator="containsText" aboveAverage="0" equalAverage="0" bottom="0" percent="0" rank="0" text="empreita" dxfId="1954">
      <formula>NOT(ISERROR(SEARCH("empreita",N69)))</formula>
    </cfRule>
    <cfRule type="containsText" priority="302" operator="containsText" aboveAverage="0" equalAverage="0" bottom="0" percent="0" rank="0" text="previsto" dxfId="1955">
      <formula>NOT(ISERROR(SEARCH("previsto",N69)))</formula>
    </cfRule>
    <cfRule type="containsText" priority="303" operator="containsText" aboveAverage="0" equalAverage="0" bottom="0" percent="0" rank="0" text="produzindo" dxfId="1956">
      <formula>NOT(ISERROR(SEARCH("produzindo",N69)))</formula>
    </cfRule>
    <cfRule type="containsText" priority="304" operator="containsText" aboveAverage="0" equalAverage="0" bottom="0" percent="0" rank="0" text="material ok" dxfId="1957">
      <formula>NOT(ISERROR(SEARCH("material ok",N69)))</formula>
    </cfRule>
    <cfRule type="containsText" priority="305" operator="containsText" aboveAverage="0" equalAverage="0" bottom="0" percent="0" rank="0" text="a serrar" dxfId="1958">
      <formula>NOT(ISERROR(SEARCH("a serrar",N69)))</formula>
    </cfRule>
    <cfRule type="containsText" priority="306" operator="containsText" aboveAverage="0" equalAverage="0" bottom="0" percent="0" rank="0" text="pronto" dxfId="1959">
      <formula>NOT(ISERROR(SEARCH("pronto",N69)))</formula>
    </cfRule>
    <cfRule type="containsText" priority="307" operator="containsText" aboveAverage="0" equalAverage="0" bottom="0" percent="0" rank="0" text="empreita" dxfId="1960">
      <formula>NOT(ISERROR(SEARCH("empreita",N69)))</formula>
    </cfRule>
    <cfRule type="containsText" priority="308" operator="containsText" aboveAverage="0" equalAverage="0" bottom="0" percent="0" rank="0" text="previsto" dxfId="1961">
      <formula>NOT(ISERROR(SEARCH("previsto",N69)))</formula>
    </cfRule>
    <cfRule type="containsText" priority="309" operator="containsText" aboveAverage="0" equalAverage="0" bottom="0" percent="0" rank="0" text="produzindo" dxfId="1962">
      <formula>NOT(ISERROR(SEARCH("produzindo",N69)))</formula>
    </cfRule>
    <cfRule type="containsText" priority="310" operator="containsText" aboveAverage="0" equalAverage="0" bottom="0" percent="0" rank="0" text="material ok" dxfId="1963">
      <formula>NOT(ISERROR(SEARCH("material ok",N69)))</formula>
    </cfRule>
    <cfRule type="containsText" priority="311" operator="containsText" aboveAverage="0" equalAverage="0" bottom="0" percent="0" rank="0" text="a montar" dxfId="1964">
      <formula>NOT(ISERROR(SEARCH("a montar",N69)))</formula>
    </cfRule>
  </conditionalFormatting>
  <conditionalFormatting sqref="N68:N70">
    <cfRule type="containsText" priority="312" operator="containsText" aboveAverage="0" equalAverage="0" bottom="0" percent="0" rank="0" text="a serrar" dxfId="1965">
      <formula>NOT(ISERROR(SEARCH("a serrar",N68)))</formula>
    </cfRule>
    <cfRule type="containsText" priority="313" operator="containsText" aboveAverage="0" equalAverage="0" bottom="0" percent="0" rank="0" text="pronto" dxfId="1966">
      <formula>NOT(ISERROR(SEARCH("pronto",N68)))</formula>
    </cfRule>
    <cfRule type="containsText" priority="314" operator="containsText" aboveAverage="0" equalAverage="0" bottom="0" percent="0" rank="0" text="empreita" dxfId="1967">
      <formula>NOT(ISERROR(SEARCH("empreita",N68)))</formula>
    </cfRule>
    <cfRule type="containsText" priority="315" operator="containsText" aboveAverage="0" equalAverage="0" bottom="0" percent="0" rank="0" text="previsto" dxfId="1968">
      <formula>NOT(ISERROR(SEARCH("previsto",N68)))</formula>
    </cfRule>
    <cfRule type="containsText" priority="316" operator="containsText" aboveAverage="0" equalAverage="0" bottom="0" percent="0" rank="0" text="produzindo" dxfId="1969">
      <formula>NOT(ISERROR(SEARCH("produzindo",N68)))</formula>
    </cfRule>
    <cfRule type="containsText" priority="317" operator="containsText" aboveAverage="0" equalAverage="0" bottom="0" percent="0" rank="0" text="material ok" dxfId="1970">
      <formula>NOT(ISERROR(SEARCH("material ok",N68)))</formula>
    </cfRule>
  </conditionalFormatting>
  <conditionalFormatting sqref="N68">
    <cfRule type="containsText" priority="318" operator="containsText" aboveAverage="0" equalAverage="0" bottom="0" percent="0" rank="0" text="a montar" dxfId="1971">
      <formula>NOT(ISERROR(SEARCH("a montar",N68)))</formula>
    </cfRule>
    <cfRule type="containsText" priority="319" operator="containsText" aboveAverage="0" equalAverage="0" bottom="0" percent="0" rank="0" text="a serrar" dxfId="1972">
      <formula>NOT(ISERROR(SEARCH("a serrar",N68)))</formula>
    </cfRule>
    <cfRule type="containsText" priority="320" operator="containsText" aboveAverage="0" equalAverage="0" bottom="0" percent="0" rank="0" text="pronto" dxfId="1973">
      <formula>NOT(ISERROR(SEARCH("pronto",N68)))</formula>
    </cfRule>
    <cfRule type="containsText" priority="321" operator="containsText" aboveAverage="0" equalAverage="0" bottom="0" percent="0" rank="0" text="empreita" dxfId="1974">
      <formula>NOT(ISERROR(SEARCH("empreita",N68)))</formula>
    </cfRule>
    <cfRule type="containsText" priority="322" operator="containsText" aboveAverage="0" equalAverage="0" bottom="0" percent="0" rank="0" text="previsto" dxfId="1975">
      <formula>NOT(ISERROR(SEARCH("previsto",N68)))</formula>
    </cfRule>
    <cfRule type="containsText" priority="323" operator="containsText" aboveAverage="0" equalAverage="0" bottom="0" percent="0" rank="0" text="produzindo" dxfId="1976">
      <formula>NOT(ISERROR(SEARCH("produzindo",N68)))</formula>
    </cfRule>
    <cfRule type="containsText" priority="324" operator="containsText" aboveAverage="0" equalAverage="0" bottom="0" percent="0" rank="0" text="material ok" dxfId="1977">
      <formula>NOT(ISERROR(SEARCH("material ok",N68)))</formula>
    </cfRule>
    <cfRule type="containsText" priority="325" operator="containsText" aboveAverage="0" equalAverage="0" bottom="0" percent="0" rank="0" text="a serrar" dxfId="1978">
      <formula>NOT(ISERROR(SEARCH("a serrar",N68)))</formula>
    </cfRule>
    <cfRule type="containsText" priority="326" operator="containsText" aboveAverage="0" equalAverage="0" bottom="0" percent="0" rank="0" text="pronto" dxfId="1979">
      <formula>NOT(ISERROR(SEARCH("pronto",N68)))</formula>
    </cfRule>
    <cfRule type="containsText" priority="327" operator="containsText" aboveAverage="0" equalAverage="0" bottom="0" percent="0" rank="0" text="empreita" dxfId="1980">
      <formula>NOT(ISERROR(SEARCH("empreita",N68)))</formula>
    </cfRule>
    <cfRule type="containsText" priority="328" operator="containsText" aboveAverage="0" equalAverage="0" bottom="0" percent="0" rank="0" text="previsto" dxfId="1981">
      <formula>NOT(ISERROR(SEARCH("previsto",N68)))</formula>
    </cfRule>
    <cfRule type="containsText" priority="329" operator="containsText" aboveAverage="0" equalAverage="0" bottom="0" percent="0" rank="0" text="produzindo" dxfId="1982">
      <formula>NOT(ISERROR(SEARCH("produzindo",N68)))</formula>
    </cfRule>
    <cfRule type="containsText" priority="330" operator="containsText" aboveAverage="0" equalAverage="0" bottom="0" percent="0" rank="0" text="material ok" dxfId="1983">
      <formula>NOT(ISERROR(SEARCH("material ok",N68)))</formula>
    </cfRule>
    <cfRule type="containsText" priority="331" operator="containsText" aboveAverage="0" equalAverage="0" bottom="0" percent="0" rank="0" text="a montar" dxfId="1984">
      <formula>NOT(ISERROR(SEARCH("a montar",N68)))</formula>
    </cfRule>
  </conditionalFormatting>
  <conditionalFormatting sqref="N65:N68">
    <cfRule type="containsText" priority="332" operator="containsText" aboveAverage="0" equalAverage="0" bottom="0" percent="0" rank="0" text="a serrar" dxfId="1985">
      <formula>NOT(ISERROR(SEARCH("a serrar",N65)))</formula>
    </cfRule>
    <cfRule type="containsText" priority="333" operator="containsText" aboveAverage="0" equalAverage="0" bottom="0" percent="0" rank="0" text="pronto" dxfId="1986">
      <formula>NOT(ISERROR(SEARCH("pronto",N65)))</formula>
    </cfRule>
    <cfRule type="containsText" priority="334" operator="containsText" aboveAverage="0" equalAverage="0" bottom="0" percent="0" rank="0" text="empreita" dxfId="1987">
      <formula>NOT(ISERROR(SEARCH("empreita",N65)))</formula>
    </cfRule>
    <cfRule type="containsText" priority="335" operator="containsText" aboveAverage="0" equalAverage="0" bottom="0" percent="0" rank="0" text="previsto" dxfId="1988">
      <formula>NOT(ISERROR(SEARCH("previsto",N65)))</formula>
    </cfRule>
    <cfRule type="containsText" priority="336" operator="containsText" aboveAverage="0" equalAverage="0" bottom="0" percent="0" rank="0" text="produzindo" dxfId="1989">
      <formula>NOT(ISERROR(SEARCH("produzindo",N65)))</formula>
    </cfRule>
    <cfRule type="containsText" priority="337" operator="containsText" aboveAverage="0" equalAverage="0" bottom="0" percent="0" rank="0" text="material ok" dxfId="1990">
      <formula>NOT(ISERROR(SEARCH("material ok",N65)))</formula>
    </cfRule>
  </conditionalFormatting>
  <conditionalFormatting sqref="N65:N67">
    <cfRule type="containsText" priority="338" operator="containsText" aboveAverage="0" equalAverage="0" bottom="0" percent="0" rank="0" text="a montar" dxfId="1991">
      <formula>NOT(ISERROR(SEARCH("a montar",N65)))</formula>
    </cfRule>
    <cfRule type="containsText" priority="339" operator="containsText" aboveAverage="0" equalAverage="0" bottom="0" percent="0" rank="0" text="a serrar" dxfId="1992">
      <formula>NOT(ISERROR(SEARCH("a serrar",N65)))</formula>
    </cfRule>
    <cfRule type="containsText" priority="340" operator="containsText" aboveAverage="0" equalAverage="0" bottom="0" percent="0" rank="0" text="pronto" dxfId="1993">
      <formula>NOT(ISERROR(SEARCH("pronto",N65)))</formula>
    </cfRule>
    <cfRule type="containsText" priority="341" operator="containsText" aboveAverage="0" equalAverage="0" bottom="0" percent="0" rank="0" text="empreita" dxfId="1994">
      <formula>NOT(ISERROR(SEARCH("empreita",N65)))</formula>
    </cfRule>
    <cfRule type="containsText" priority="342" operator="containsText" aboveAverage="0" equalAverage="0" bottom="0" percent="0" rank="0" text="previsto" dxfId="1995">
      <formula>NOT(ISERROR(SEARCH("previsto",N65)))</formula>
    </cfRule>
    <cfRule type="containsText" priority="343" operator="containsText" aboveAverage="0" equalAverage="0" bottom="0" percent="0" rank="0" text="produzindo" dxfId="1996">
      <formula>NOT(ISERROR(SEARCH("produzindo",N65)))</formula>
    </cfRule>
    <cfRule type="containsText" priority="344" operator="containsText" aboveAverage="0" equalAverage="0" bottom="0" percent="0" rank="0" text="material ok" dxfId="1997">
      <formula>NOT(ISERROR(SEARCH("material ok",N65)))</formula>
    </cfRule>
    <cfRule type="containsText" priority="345" operator="containsText" aboveAverage="0" equalAverage="0" bottom="0" percent="0" rank="0" text="a serrar" dxfId="1998">
      <formula>NOT(ISERROR(SEARCH("a serrar",N65)))</formula>
    </cfRule>
    <cfRule type="containsText" priority="346" operator="containsText" aboveAverage="0" equalAverage="0" bottom="0" percent="0" rank="0" text="pronto" dxfId="1999">
      <formula>NOT(ISERROR(SEARCH("pronto",N65)))</formula>
    </cfRule>
    <cfRule type="containsText" priority="347" operator="containsText" aboveAverage="0" equalAverage="0" bottom="0" percent="0" rank="0" text="empreita" dxfId="2000">
      <formula>NOT(ISERROR(SEARCH("empreita",N65)))</formula>
    </cfRule>
    <cfRule type="containsText" priority="348" operator="containsText" aboveAverage="0" equalAverage="0" bottom="0" percent="0" rank="0" text="previsto" dxfId="2001">
      <formula>NOT(ISERROR(SEARCH("previsto",N65)))</formula>
    </cfRule>
    <cfRule type="containsText" priority="349" operator="containsText" aboveAverage="0" equalAverage="0" bottom="0" percent="0" rank="0" text="produzindo" dxfId="2002">
      <formula>NOT(ISERROR(SEARCH("produzindo",N65)))</formula>
    </cfRule>
    <cfRule type="containsText" priority="350" operator="containsText" aboveAverage="0" equalAverage="0" bottom="0" percent="0" rank="0" text="material ok" dxfId="2003">
      <formula>NOT(ISERROR(SEARCH("material ok",N65)))</formula>
    </cfRule>
    <cfRule type="containsText" priority="351" operator="containsText" aboveAverage="0" equalAverage="0" bottom="0" percent="0" rank="0" text="a montar" dxfId="2004">
      <formula>NOT(ISERROR(SEARCH("a montar",N65)))</formula>
    </cfRule>
  </conditionalFormatting>
  <conditionalFormatting sqref="N63:N67">
    <cfRule type="containsText" priority="352" operator="containsText" aboveAverage="0" equalAverage="0" bottom="0" percent="0" rank="0" text="a serrar" dxfId="2005">
      <formula>NOT(ISERROR(SEARCH("a serrar",N63)))</formula>
    </cfRule>
    <cfRule type="containsText" priority="353" operator="containsText" aboveAverage="0" equalAverage="0" bottom="0" percent="0" rank="0" text="pronto" dxfId="2006">
      <formula>NOT(ISERROR(SEARCH("pronto",N63)))</formula>
    </cfRule>
    <cfRule type="containsText" priority="354" operator="containsText" aboveAverage="0" equalAverage="0" bottom="0" percent="0" rank="0" text="empreita" dxfId="2007">
      <formula>NOT(ISERROR(SEARCH("empreita",N63)))</formula>
    </cfRule>
    <cfRule type="containsText" priority="355" operator="containsText" aboveAverage="0" equalAverage="0" bottom="0" percent="0" rank="0" text="previsto" dxfId="2008">
      <formula>NOT(ISERROR(SEARCH("previsto",N63)))</formula>
    </cfRule>
    <cfRule type="containsText" priority="356" operator="containsText" aboveAverage="0" equalAverage="0" bottom="0" percent="0" rank="0" text="produzindo" dxfId="2009">
      <formula>NOT(ISERROR(SEARCH("produzindo",N63)))</formula>
    </cfRule>
    <cfRule type="containsText" priority="357" operator="containsText" aboveAverage="0" equalAverage="0" bottom="0" percent="0" rank="0" text="material ok" dxfId="2010">
      <formula>NOT(ISERROR(SEARCH("material ok",N63)))</formula>
    </cfRule>
  </conditionalFormatting>
  <conditionalFormatting sqref="N51:N52">
    <cfRule type="containsText" priority="358" operator="containsText" aboveAverage="0" equalAverage="0" bottom="0" percent="0" rank="0" text="a serrar" dxfId="2011">
      <formula>NOT(ISERROR(SEARCH("a serrar",N51)))</formula>
    </cfRule>
    <cfRule type="containsText" priority="359" operator="containsText" aboveAverage="0" equalAverage="0" bottom="0" percent="0" rank="0" text="pronto" dxfId="2012">
      <formula>NOT(ISERROR(SEARCH("pronto",N51)))</formula>
    </cfRule>
    <cfRule type="containsText" priority="360" operator="containsText" aboveAverage="0" equalAverage="0" bottom="0" percent="0" rank="0" text="empreita" dxfId="2013">
      <formula>NOT(ISERROR(SEARCH("empreita",N51)))</formula>
    </cfRule>
    <cfRule type="containsText" priority="361" operator="containsText" aboveAverage="0" equalAverage="0" bottom="0" percent="0" rank="0" text="previsto" dxfId="2014">
      <formula>NOT(ISERROR(SEARCH("previsto",N51)))</formula>
    </cfRule>
    <cfRule type="containsText" priority="362" operator="containsText" aboveAverage="0" equalAverage="0" bottom="0" percent="0" rank="0" text="produzindo" dxfId="2015">
      <formula>NOT(ISERROR(SEARCH("produzindo",N51)))</formula>
    </cfRule>
    <cfRule type="containsText" priority="363" operator="containsText" aboveAverage="0" equalAverage="0" bottom="0" percent="0" rank="0" text="material ok" dxfId="2016">
      <formula>NOT(ISERROR(SEARCH("material ok",N51)))</formula>
    </cfRule>
    <cfRule type="containsText" priority="364" operator="containsText" aboveAverage="0" equalAverage="0" bottom="0" percent="0" rank="0" text="a montar" dxfId="2017">
      <formula>NOT(ISERROR(SEARCH("a montar",N51)))</formula>
    </cfRule>
    <cfRule type="containsText" priority="365" operator="containsText" aboveAverage="0" equalAverage="0" bottom="0" percent="0" rank="0" text="a serrar" dxfId="2018">
      <formula>NOT(ISERROR(SEARCH("a serrar",N51)))</formula>
    </cfRule>
    <cfRule type="containsText" priority="366" operator="containsText" aboveAverage="0" equalAverage="0" bottom="0" percent="0" rank="0" text="pronto" dxfId="2019">
      <formula>NOT(ISERROR(SEARCH("pronto",N51)))</formula>
    </cfRule>
    <cfRule type="containsText" priority="367" operator="containsText" aboveAverage="0" equalAverage="0" bottom="0" percent="0" rank="0" text="empreita" dxfId="2020">
      <formula>NOT(ISERROR(SEARCH("empreita",N51)))</formula>
    </cfRule>
    <cfRule type="containsText" priority="368" operator="containsText" aboveAverage="0" equalAverage="0" bottom="0" percent="0" rank="0" text="previsto" dxfId="2021">
      <formula>NOT(ISERROR(SEARCH("previsto",N51)))</formula>
    </cfRule>
    <cfRule type="containsText" priority="369" operator="containsText" aboveAverage="0" equalAverage="0" bottom="0" percent="0" rank="0" text="produzindo" dxfId="2022">
      <formula>NOT(ISERROR(SEARCH("produzindo",N51)))</formula>
    </cfRule>
    <cfRule type="containsText" priority="370" operator="containsText" aboveAverage="0" equalAverage="0" bottom="0" percent="0" rank="0" text="material ok" dxfId="2023">
      <formula>NOT(ISERROR(SEARCH("material ok",N51)))</formula>
    </cfRule>
    <cfRule type="containsText" priority="371" operator="containsText" aboveAverage="0" equalAverage="0" bottom="0" percent="0" rank="0" text="a serrar" dxfId="2024">
      <formula>NOT(ISERROR(SEARCH("a serrar",N51)))</formula>
    </cfRule>
    <cfRule type="containsText" priority="372" operator="containsText" aboveAverage="0" equalAverage="0" bottom="0" percent="0" rank="0" text="pronto" dxfId="2025">
      <formula>NOT(ISERROR(SEARCH("pronto",N51)))</formula>
    </cfRule>
    <cfRule type="containsText" priority="373" operator="containsText" aboveAverage="0" equalAverage="0" bottom="0" percent="0" rank="0" text="empreita" dxfId="2026">
      <formula>NOT(ISERROR(SEARCH("empreita",N51)))</formula>
    </cfRule>
    <cfRule type="containsText" priority="374" operator="containsText" aboveAverage="0" equalAverage="0" bottom="0" percent="0" rank="0" text="previsto" dxfId="2027">
      <formula>NOT(ISERROR(SEARCH("previsto",N51)))</formula>
    </cfRule>
    <cfRule type="containsText" priority="375" operator="containsText" aboveAverage="0" equalAverage="0" bottom="0" percent="0" rank="0" text="produzindo" dxfId="2028">
      <formula>NOT(ISERROR(SEARCH("produzindo",N51)))</formula>
    </cfRule>
    <cfRule type="containsText" priority="376" operator="containsText" aboveAverage="0" equalAverage="0" bottom="0" percent="0" rank="0" text="material ok" dxfId="2029">
      <formula>NOT(ISERROR(SEARCH("material ok",N51)))</formula>
    </cfRule>
    <cfRule type="containsText" priority="377" operator="containsText" aboveAverage="0" equalAverage="0" bottom="0" percent="0" rank="0" text="a montar" dxfId="2030">
      <formula>NOT(ISERROR(SEARCH("a montar",N51)))</formula>
    </cfRule>
  </conditionalFormatting>
  <conditionalFormatting sqref="N49:N52">
    <cfRule type="containsText" priority="378" operator="containsText" aboveAverage="0" equalAverage="0" bottom="0" percent="0" rank="0" text="a serrar" dxfId="2031">
      <formula>NOT(ISERROR(SEARCH("a serrar",N49)))</formula>
    </cfRule>
    <cfRule type="containsText" priority="379" operator="containsText" aboveAverage="0" equalAverage="0" bottom="0" percent="0" rank="0" text="pronto" dxfId="2032">
      <formula>NOT(ISERROR(SEARCH("pronto",N49)))</formula>
    </cfRule>
    <cfRule type="containsText" priority="380" operator="containsText" aboveAverage="0" equalAverage="0" bottom="0" percent="0" rank="0" text="empreita" dxfId="2033">
      <formula>NOT(ISERROR(SEARCH("empreita",N49)))</formula>
    </cfRule>
    <cfRule type="containsText" priority="381" operator="containsText" aboveAverage="0" equalAverage="0" bottom="0" percent="0" rank="0" text="previsto" dxfId="2034">
      <formula>NOT(ISERROR(SEARCH("previsto",N49)))</formula>
    </cfRule>
    <cfRule type="containsText" priority="382" operator="containsText" aboveAverage="0" equalAverage="0" bottom="0" percent="0" rank="0" text="produzindo" dxfId="2035">
      <formula>NOT(ISERROR(SEARCH("produzindo",N49)))</formula>
    </cfRule>
    <cfRule type="containsText" priority="383" operator="containsText" aboveAverage="0" equalAverage="0" bottom="0" percent="0" rank="0" text="material ok" dxfId="2036">
      <formula>NOT(ISERROR(SEARCH("material ok",N49)))</formula>
    </cfRule>
  </conditionalFormatting>
  <conditionalFormatting sqref="N42:N44">
    <cfRule type="containsText" priority="384" operator="containsText" aboveAverage="0" equalAverage="0" bottom="0" percent="0" rank="0" text="a serrar" dxfId="2037">
      <formula>NOT(ISERROR(SEARCH("a serrar",N42)))</formula>
    </cfRule>
    <cfRule type="containsText" priority="385" operator="containsText" aboveAverage="0" equalAverage="0" bottom="0" percent="0" rank="0" text="pronto" dxfId="2038">
      <formula>NOT(ISERROR(SEARCH("pronto",N42)))</formula>
    </cfRule>
    <cfRule type="containsText" priority="386" operator="containsText" aboveAverage="0" equalAverage="0" bottom="0" percent="0" rank="0" text="empreita" dxfId="2039">
      <formula>NOT(ISERROR(SEARCH("empreita",N42)))</formula>
    </cfRule>
    <cfRule type="containsText" priority="387" operator="containsText" aboveAverage="0" equalAverage="0" bottom="0" percent="0" rank="0" text="previsto" dxfId="2040">
      <formula>NOT(ISERROR(SEARCH("previsto",N42)))</formula>
    </cfRule>
    <cfRule type="containsText" priority="388" operator="containsText" aboveAverage="0" equalAverage="0" bottom="0" percent="0" rank="0" text="produzindo" dxfId="2041">
      <formula>NOT(ISERROR(SEARCH("produzindo",N42)))</formula>
    </cfRule>
    <cfRule type="containsText" priority="389" operator="containsText" aboveAverage="0" equalAverage="0" bottom="0" percent="0" rank="0" text="material ok" dxfId="2042">
      <formula>NOT(ISERROR(SEARCH("material ok",N42)))</formula>
    </cfRule>
    <cfRule type="containsText" priority="390" operator="containsText" aboveAverage="0" equalAverage="0" bottom="0" percent="0" rank="0" text="a serrar" dxfId="2043">
      <formula>NOT(ISERROR(SEARCH("a serrar",N42)))</formula>
    </cfRule>
    <cfRule type="containsText" priority="391" operator="containsText" aboveAverage="0" equalAverage="0" bottom="0" percent="0" rank="0" text="pronto" dxfId="2044">
      <formula>NOT(ISERROR(SEARCH("pronto",N42)))</formula>
    </cfRule>
    <cfRule type="containsText" priority="392" operator="containsText" aboveAverage="0" equalAverage="0" bottom="0" percent="0" rank="0" text="empreita" dxfId="2045">
      <formula>NOT(ISERROR(SEARCH("empreita",N42)))</formula>
    </cfRule>
    <cfRule type="containsText" priority="393" operator="containsText" aboveAverage="0" equalAverage="0" bottom="0" percent="0" rank="0" text="previsto" dxfId="2046">
      <formula>NOT(ISERROR(SEARCH("previsto",N42)))</formula>
    </cfRule>
    <cfRule type="containsText" priority="394" operator="containsText" aboveAverage="0" equalAverage="0" bottom="0" percent="0" rank="0" text="produzindo" dxfId="2047">
      <formula>NOT(ISERROR(SEARCH("produzindo",N42)))</formula>
    </cfRule>
    <cfRule type="containsText" priority="395" operator="containsText" aboveAverage="0" equalAverage="0" bottom="0" percent="0" rank="0" text="material ok" dxfId="2048">
      <formula>NOT(ISERROR(SEARCH("material ok",N42)))</formula>
    </cfRule>
  </conditionalFormatting>
  <conditionalFormatting sqref="N42:N50">
    <cfRule type="containsText" priority="396" operator="containsText" aboveAverage="0" equalAverage="0" bottom="0" percent="0" rank="0" text="a montar" dxfId="2049">
      <formula>NOT(ISERROR(SEARCH("a montar",N42)))</formula>
    </cfRule>
  </conditionalFormatting>
  <conditionalFormatting sqref="N38:N44">
    <cfRule type="containsText" priority="397" operator="containsText" aboveAverage="0" equalAverage="0" bottom="0" percent="0" rank="0" text="a serrar" dxfId="2050">
      <formula>NOT(ISERROR(SEARCH("a serrar",N38)))</formula>
    </cfRule>
    <cfRule type="containsText" priority="398" operator="containsText" aboveAverage="0" equalAverage="0" bottom="0" percent="0" rank="0" text="pronto" dxfId="2051">
      <formula>NOT(ISERROR(SEARCH("pronto",N38)))</formula>
    </cfRule>
    <cfRule type="containsText" priority="399" operator="containsText" aboveAverage="0" equalAverage="0" bottom="0" percent="0" rank="0" text="empreita" dxfId="2052">
      <formula>NOT(ISERROR(SEARCH("empreita",N38)))</formula>
    </cfRule>
    <cfRule type="containsText" priority="400" operator="containsText" aboveAverage="0" equalAverage="0" bottom="0" percent="0" rank="0" text="previsto" dxfId="2053">
      <formula>NOT(ISERROR(SEARCH("previsto",N38)))</formula>
    </cfRule>
    <cfRule type="containsText" priority="401" operator="containsText" aboveAverage="0" equalAverage="0" bottom="0" percent="0" rank="0" text="produzindo" dxfId="2054">
      <formula>NOT(ISERROR(SEARCH("produzindo",N38)))</formula>
    </cfRule>
    <cfRule type="containsText" priority="402" operator="containsText" aboveAverage="0" equalAverage="0" bottom="0" percent="0" rank="0" text="material ok" dxfId="2055">
      <formula>NOT(ISERROR(SEARCH("material ok",N38)))</formula>
    </cfRule>
  </conditionalFormatting>
  <conditionalFormatting sqref="N63:N64">
    <cfRule type="containsText" priority="403" operator="containsText" aboveAverage="0" equalAverage="0" bottom="0" percent="0" rank="0" text="a montar" dxfId="2056">
      <formula>NOT(ISERROR(SEARCH("a montar",N63)))</formula>
    </cfRule>
    <cfRule type="containsText" priority="404" operator="containsText" aboveAverage="0" equalAverage="0" bottom="0" percent="0" rank="0" text="a serrar" dxfId="2057">
      <formula>NOT(ISERROR(SEARCH("a serrar",N63)))</formula>
    </cfRule>
    <cfRule type="containsText" priority="405" operator="containsText" aboveAverage="0" equalAverage="0" bottom="0" percent="0" rank="0" text="pronto" dxfId="2058">
      <formula>NOT(ISERROR(SEARCH("pronto",N63)))</formula>
    </cfRule>
    <cfRule type="containsText" priority="406" operator="containsText" aboveAverage="0" equalAverage="0" bottom="0" percent="0" rank="0" text="empreita" dxfId="2059">
      <formula>NOT(ISERROR(SEARCH("empreita",N63)))</formula>
    </cfRule>
    <cfRule type="containsText" priority="407" operator="containsText" aboveAverage="0" equalAverage="0" bottom="0" percent="0" rank="0" text="previsto" dxfId="2060">
      <formula>NOT(ISERROR(SEARCH("previsto",N63)))</formula>
    </cfRule>
    <cfRule type="containsText" priority="408" operator="containsText" aboveAverage="0" equalAverage="0" bottom="0" percent="0" rank="0" text="produzindo" dxfId="2061">
      <formula>NOT(ISERROR(SEARCH("produzindo",N63)))</formula>
    </cfRule>
    <cfRule type="containsText" priority="409" operator="containsText" aboveAverage="0" equalAverage="0" bottom="0" percent="0" rank="0" text="material ok" dxfId="2062">
      <formula>NOT(ISERROR(SEARCH("material ok",N63)))</formula>
    </cfRule>
    <cfRule type="containsText" priority="410" operator="containsText" aboveAverage="0" equalAverage="0" bottom="0" percent="0" rank="0" text="a serrar" dxfId="2063">
      <formula>NOT(ISERROR(SEARCH("a serrar",N63)))</formula>
    </cfRule>
    <cfRule type="containsText" priority="411" operator="containsText" aboveAverage="0" equalAverage="0" bottom="0" percent="0" rank="0" text="pronto" dxfId="2064">
      <formula>NOT(ISERROR(SEARCH("pronto",N63)))</formula>
    </cfRule>
    <cfRule type="containsText" priority="412" operator="containsText" aboveAverage="0" equalAverage="0" bottom="0" percent="0" rank="0" text="empreita" dxfId="2065">
      <formula>NOT(ISERROR(SEARCH("empreita",N63)))</formula>
    </cfRule>
    <cfRule type="containsText" priority="413" operator="containsText" aboveAverage="0" equalAverage="0" bottom="0" percent="0" rank="0" text="previsto" dxfId="2066">
      <formula>NOT(ISERROR(SEARCH("previsto",N63)))</formula>
    </cfRule>
    <cfRule type="containsText" priority="414" operator="containsText" aboveAverage="0" equalAverage="0" bottom="0" percent="0" rank="0" text="produzindo" dxfId="2067">
      <formula>NOT(ISERROR(SEARCH("produzindo",N63)))</formula>
    </cfRule>
    <cfRule type="containsText" priority="415" operator="containsText" aboveAverage="0" equalAverage="0" bottom="0" percent="0" rank="0" text="material ok" dxfId="2068">
      <formula>NOT(ISERROR(SEARCH("material ok",N63)))</formula>
    </cfRule>
    <cfRule type="containsText" priority="416" operator="containsText" aboveAverage="0" equalAverage="0" bottom="0" percent="0" rank="0" text="a montar" dxfId="2069">
      <formula>NOT(ISERROR(SEARCH("a montar",N63)))</formula>
    </cfRule>
  </conditionalFormatting>
  <conditionalFormatting sqref="N53:N64">
    <cfRule type="containsText" priority="417" operator="containsText" aboveAverage="0" equalAverage="0" bottom="0" percent="0" rank="0" text="a serrar" dxfId="2070">
      <formula>NOT(ISERROR(SEARCH("a serrar",N53)))</formula>
    </cfRule>
    <cfRule type="containsText" priority="418" operator="containsText" aboveAverage="0" equalAverage="0" bottom="0" percent="0" rank="0" text="pronto" dxfId="2071">
      <formula>NOT(ISERROR(SEARCH("pronto",N53)))</formula>
    </cfRule>
    <cfRule type="containsText" priority="419" operator="containsText" aboveAverage="0" equalAverage="0" bottom="0" percent="0" rank="0" text="empreita" dxfId="2072">
      <formula>NOT(ISERROR(SEARCH("empreita",N53)))</formula>
    </cfRule>
    <cfRule type="containsText" priority="420" operator="containsText" aboveAverage="0" equalAverage="0" bottom="0" percent="0" rank="0" text="previsto" dxfId="2073">
      <formula>NOT(ISERROR(SEARCH("previsto",N53)))</formula>
    </cfRule>
    <cfRule type="containsText" priority="421" operator="containsText" aboveAverage="0" equalAverage="0" bottom="0" percent="0" rank="0" text="produzindo" dxfId="2074">
      <formula>NOT(ISERROR(SEARCH("produzindo",N53)))</formula>
    </cfRule>
    <cfRule type="containsText" priority="422" operator="containsText" aboveAverage="0" equalAverage="0" bottom="0" percent="0" rank="0" text="material ok" dxfId="2075">
      <formula>NOT(ISERROR(SEARCH("material ok",N53)))</formula>
    </cfRule>
  </conditionalFormatting>
  <conditionalFormatting sqref="N38:N41">
    <cfRule type="containsText" priority="423" operator="containsText" aboveAverage="0" equalAverage="0" bottom="0" percent="0" rank="0" text="a montar" dxfId="2076">
      <formula>NOT(ISERROR(SEARCH("a montar",N38)))</formula>
    </cfRule>
    <cfRule type="containsText" priority="424" operator="containsText" aboveAverage="0" equalAverage="0" bottom="0" percent="0" rank="0" text="a serrar" dxfId="2077">
      <formula>NOT(ISERROR(SEARCH("a serrar",N38)))</formula>
    </cfRule>
    <cfRule type="containsText" priority="425" operator="containsText" aboveAverage="0" equalAverage="0" bottom="0" percent="0" rank="0" text="pronto" dxfId="2078">
      <formula>NOT(ISERROR(SEARCH("pronto",N38)))</formula>
    </cfRule>
    <cfRule type="containsText" priority="426" operator="containsText" aboveAverage="0" equalAverage="0" bottom="0" percent="0" rank="0" text="empreita" dxfId="2079">
      <formula>NOT(ISERROR(SEARCH("empreita",N38)))</formula>
    </cfRule>
    <cfRule type="containsText" priority="427" operator="containsText" aboveAverage="0" equalAverage="0" bottom="0" percent="0" rank="0" text="previsto" dxfId="2080">
      <formula>NOT(ISERROR(SEARCH("previsto",N38)))</formula>
    </cfRule>
    <cfRule type="containsText" priority="428" operator="containsText" aboveAverage="0" equalAverage="0" bottom="0" percent="0" rank="0" text="produzindo" dxfId="2081">
      <formula>NOT(ISERROR(SEARCH("produzindo",N38)))</formula>
    </cfRule>
    <cfRule type="containsText" priority="429" operator="containsText" aboveAverage="0" equalAverage="0" bottom="0" percent="0" rank="0" text="material ok" dxfId="2082">
      <formula>NOT(ISERROR(SEARCH("material ok",N38)))</formula>
    </cfRule>
    <cfRule type="containsText" priority="430" operator="containsText" aboveAverage="0" equalAverage="0" bottom="0" percent="0" rank="0" text="a serrar" dxfId="2083">
      <formula>NOT(ISERROR(SEARCH("a serrar",N38)))</formula>
    </cfRule>
    <cfRule type="containsText" priority="431" operator="containsText" aboveAverage="0" equalAverage="0" bottom="0" percent="0" rank="0" text="pronto" dxfId="2084">
      <formula>NOT(ISERROR(SEARCH("pronto",N38)))</formula>
    </cfRule>
    <cfRule type="containsText" priority="432" operator="containsText" aboveAverage="0" equalAverage="0" bottom="0" percent="0" rank="0" text="empreita" dxfId="2085">
      <formula>NOT(ISERROR(SEARCH("empreita",N38)))</formula>
    </cfRule>
    <cfRule type="containsText" priority="433" operator="containsText" aboveAverage="0" equalAverage="0" bottom="0" percent="0" rank="0" text="previsto" dxfId="2086">
      <formula>NOT(ISERROR(SEARCH("previsto",N38)))</formula>
    </cfRule>
    <cfRule type="containsText" priority="434" operator="containsText" aboveAverage="0" equalAverage="0" bottom="0" percent="0" rank="0" text="produzindo" dxfId="2087">
      <formula>NOT(ISERROR(SEARCH("produzindo",N38)))</formula>
    </cfRule>
    <cfRule type="containsText" priority="435" operator="containsText" aboveAverage="0" equalAverage="0" bottom="0" percent="0" rank="0" text="material ok" dxfId="2088">
      <formula>NOT(ISERROR(SEARCH("material ok",N38)))</formula>
    </cfRule>
  </conditionalFormatting>
  <conditionalFormatting sqref="N53:N62">
    <cfRule type="containsText" priority="436" operator="containsText" aboveAverage="0" equalAverage="0" bottom="0" percent="0" rank="0" text="a montar" dxfId="2089">
      <formula>NOT(ISERROR(SEARCH("a montar",N53)))</formula>
    </cfRule>
    <cfRule type="containsText" priority="437" operator="containsText" aboveAverage="0" equalAverage="0" bottom="0" percent="0" rank="0" text="a serrar" dxfId="2090">
      <formula>NOT(ISERROR(SEARCH("a serrar",N53)))</formula>
    </cfRule>
    <cfRule type="containsText" priority="438" operator="containsText" aboveAverage="0" equalAverage="0" bottom="0" percent="0" rank="0" text="pronto" dxfId="2091">
      <formula>NOT(ISERROR(SEARCH("pronto",N53)))</formula>
    </cfRule>
    <cfRule type="containsText" priority="439" operator="containsText" aboveAverage="0" equalAverage="0" bottom="0" percent="0" rank="0" text="empreita" dxfId="2092">
      <formula>NOT(ISERROR(SEARCH("empreita",N53)))</formula>
    </cfRule>
    <cfRule type="containsText" priority="440" operator="containsText" aboveAverage="0" equalAverage="0" bottom="0" percent="0" rank="0" text="previsto" dxfId="2093">
      <formula>NOT(ISERROR(SEARCH("previsto",N53)))</formula>
    </cfRule>
    <cfRule type="containsText" priority="441" operator="containsText" aboveAverage="0" equalAverage="0" bottom="0" percent="0" rank="0" text="produzindo" dxfId="2094">
      <formula>NOT(ISERROR(SEARCH("produzindo",N53)))</formula>
    </cfRule>
    <cfRule type="containsText" priority="442" operator="containsText" aboveAverage="0" equalAverage="0" bottom="0" percent="0" rank="0" text="material ok" dxfId="2095">
      <formula>NOT(ISERROR(SEARCH("material ok",N53)))</formula>
    </cfRule>
    <cfRule type="containsText" priority="443" operator="containsText" aboveAverage="0" equalAverage="0" bottom="0" percent="0" rank="0" text="a serrar" dxfId="2096">
      <formula>NOT(ISERROR(SEARCH("a serrar",N53)))</formula>
    </cfRule>
    <cfRule type="containsText" priority="444" operator="containsText" aboveAverage="0" equalAverage="0" bottom="0" percent="0" rank="0" text="pronto" dxfId="2097">
      <formula>NOT(ISERROR(SEARCH("pronto",N53)))</formula>
    </cfRule>
    <cfRule type="containsText" priority="445" operator="containsText" aboveAverage="0" equalAverage="0" bottom="0" percent="0" rank="0" text="empreita" dxfId="2098">
      <formula>NOT(ISERROR(SEARCH("empreita",N53)))</formula>
    </cfRule>
    <cfRule type="containsText" priority="446" operator="containsText" aboveAverage="0" equalAverage="0" bottom="0" percent="0" rank="0" text="previsto" dxfId="2099">
      <formula>NOT(ISERROR(SEARCH("previsto",N53)))</formula>
    </cfRule>
    <cfRule type="containsText" priority="447" operator="containsText" aboveAverage="0" equalAverage="0" bottom="0" percent="0" rank="0" text="produzindo" dxfId="2100">
      <formula>NOT(ISERROR(SEARCH("produzindo",N53)))</formula>
    </cfRule>
    <cfRule type="containsText" priority="448" operator="containsText" aboveAverage="0" equalAverage="0" bottom="0" percent="0" rank="0" text="material ok" dxfId="2101">
      <formula>NOT(ISERROR(SEARCH("material ok",N53)))</formula>
    </cfRule>
  </conditionalFormatting>
  <conditionalFormatting sqref="N49:N50">
    <cfRule type="containsText" priority="449" operator="containsText" aboveAverage="0" equalAverage="0" bottom="0" percent="0" rank="0" text="a serrar" dxfId="2102">
      <formula>NOT(ISERROR(SEARCH("a serrar",N49)))</formula>
    </cfRule>
    <cfRule type="containsText" priority="450" operator="containsText" aboveAverage="0" equalAverage="0" bottom="0" percent="0" rank="0" text="pronto" dxfId="2103">
      <formula>NOT(ISERROR(SEARCH("pronto",N49)))</formula>
    </cfRule>
    <cfRule type="containsText" priority="451" operator="containsText" aboveAverage="0" equalAverage="0" bottom="0" percent="0" rank="0" text="empreita" dxfId="2104">
      <formula>NOT(ISERROR(SEARCH("empreita",N49)))</formula>
    </cfRule>
    <cfRule type="containsText" priority="452" operator="containsText" aboveAverage="0" equalAverage="0" bottom="0" percent="0" rank="0" text="previsto" dxfId="2105">
      <formula>NOT(ISERROR(SEARCH("previsto",N49)))</formula>
    </cfRule>
    <cfRule type="containsText" priority="453" operator="containsText" aboveAverage="0" equalAverage="0" bottom="0" percent="0" rank="0" text="produzindo" dxfId="2106">
      <formula>NOT(ISERROR(SEARCH("produzindo",N49)))</formula>
    </cfRule>
    <cfRule type="containsText" priority="454" operator="containsText" aboveAverage="0" equalAverage="0" bottom="0" percent="0" rank="0" text="material ok" dxfId="2107">
      <formula>NOT(ISERROR(SEARCH("material ok",N49)))</formula>
    </cfRule>
  </conditionalFormatting>
  <conditionalFormatting sqref="N45:N50">
    <cfRule type="containsText" priority="455" operator="containsText" aboveAverage="0" equalAverage="0" bottom="0" percent="0" rank="0" text="a serrar" dxfId="2108">
      <formula>NOT(ISERROR(SEARCH("a serrar",N45)))</formula>
    </cfRule>
    <cfRule type="containsText" priority="456" operator="containsText" aboveAverage="0" equalAverage="0" bottom="0" percent="0" rank="0" text="pronto" dxfId="2109">
      <formula>NOT(ISERROR(SEARCH("pronto",N45)))</formula>
    </cfRule>
    <cfRule type="containsText" priority="457" operator="containsText" aboveAverage="0" equalAverage="0" bottom="0" percent="0" rank="0" text="empreita" dxfId="2110">
      <formula>NOT(ISERROR(SEARCH("empreita",N45)))</formula>
    </cfRule>
    <cfRule type="containsText" priority="458" operator="containsText" aboveAverage="0" equalAverage="0" bottom="0" percent="0" rank="0" text="previsto" dxfId="2111">
      <formula>NOT(ISERROR(SEARCH("previsto",N45)))</formula>
    </cfRule>
    <cfRule type="containsText" priority="459" operator="containsText" aboveAverage="0" equalAverage="0" bottom="0" percent="0" rank="0" text="produzindo" dxfId="2112">
      <formula>NOT(ISERROR(SEARCH("produzindo",N45)))</formula>
    </cfRule>
    <cfRule type="containsText" priority="460" operator="containsText" aboveAverage="0" equalAverage="0" bottom="0" percent="0" rank="0" text="material ok" dxfId="2113">
      <formula>NOT(ISERROR(SEARCH("material ok",N45)))</formula>
    </cfRule>
  </conditionalFormatting>
  <conditionalFormatting sqref="N25:N28">
    <cfRule type="containsText" priority="461" operator="containsText" aboveAverage="0" equalAverage="0" bottom="0" percent="0" rank="0" text="a serrar" dxfId="2114">
      <formula>NOT(ISERROR(SEARCH("a serrar",N25)))</formula>
    </cfRule>
    <cfRule type="containsText" priority="462" operator="containsText" aboveAverage="0" equalAverage="0" bottom="0" percent="0" rank="0" text="pronto" dxfId="2115">
      <formula>NOT(ISERROR(SEARCH("pronto",N25)))</formula>
    </cfRule>
    <cfRule type="containsText" priority="463" operator="containsText" aboveAverage="0" equalAverage="0" bottom="0" percent="0" rank="0" text="empreita" dxfId="2116">
      <formula>NOT(ISERROR(SEARCH("empreita",N25)))</formula>
    </cfRule>
    <cfRule type="containsText" priority="464" operator="containsText" aboveAverage="0" equalAverage="0" bottom="0" percent="0" rank="0" text="previsto" dxfId="2117">
      <formula>NOT(ISERROR(SEARCH("previsto",N25)))</formula>
    </cfRule>
    <cfRule type="containsText" priority="465" operator="containsText" aboveAverage="0" equalAverage="0" bottom="0" percent="0" rank="0" text="produzindo" dxfId="2118">
      <formula>NOT(ISERROR(SEARCH("produzindo",N25)))</formula>
    </cfRule>
    <cfRule type="containsText" priority="466" operator="containsText" aboveAverage="0" equalAverage="0" bottom="0" percent="0" rank="0" text="material ok" dxfId="2119">
      <formula>NOT(ISERROR(SEARCH("material ok",N25)))</formula>
    </cfRule>
    <cfRule type="containsText" priority="467" operator="containsText" aboveAverage="0" equalAverage="0" bottom="0" percent="0" rank="0" text="a montar" dxfId="2120">
      <formula>NOT(ISERROR(SEARCH("a montar",N25)))</formula>
    </cfRule>
    <cfRule type="containsText" priority="468" operator="containsText" aboveAverage="0" equalAverage="0" bottom="0" percent="0" rank="0" text="a serrar" dxfId="2121">
      <formula>NOT(ISERROR(SEARCH("a serrar",N25)))</formula>
    </cfRule>
    <cfRule type="containsText" priority="469" operator="containsText" aboveAverage="0" equalAverage="0" bottom="0" percent="0" rank="0" text="pronto" dxfId="2122">
      <formula>NOT(ISERROR(SEARCH("pronto",N25)))</formula>
    </cfRule>
    <cfRule type="containsText" priority="470" operator="containsText" aboveAverage="0" equalAverage="0" bottom="0" percent="0" rank="0" text="empreita" dxfId="2123">
      <formula>NOT(ISERROR(SEARCH("empreita",N25)))</formula>
    </cfRule>
    <cfRule type="containsText" priority="471" operator="containsText" aboveAverage="0" equalAverage="0" bottom="0" percent="0" rank="0" text="previsto" dxfId="2124">
      <formula>NOT(ISERROR(SEARCH("previsto",N25)))</formula>
    </cfRule>
    <cfRule type="containsText" priority="472" operator="containsText" aboveAverage="0" equalAverage="0" bottom="0" percent="0" rank="0" text="produzindo" dxfId="2125">
      <formula>NOT(ISERROR(SEARCH("produzindo",N25)))</formula>
    </cfRule>
    <cfRule type="containsText" priority="473" operator="containsText" aboveAverage="0" equalAverage="0" bottom="0" percent="0" rank="0" text="material ok" dxfId="2126">
      <formula>NOT(ISERROR(SEARCH("material ok",N25)))</formula>
    </cfRule>
    <cfRule type="containsText" priority="474" operator="containsText" aboveAverage="0" equalAverage="0" bottom="0" percent="0" rank="0" text="a serrar" dxfId="2127">
      <formula>NOT(ISERROR(SEARCH("a serrar",N25)))</formula>
    </cfRule>
    <cfRule type="containsText" priority="475" operator="containsText" aboveAverage="0" equalAverage="0" bottom="0" percent="0" rank="0" text="pronto" dxfId="2128">
      <formula>NOT(ISERROR(SEARCH("pronto",N25)))</formula>
    </cfRule>
    <cfRule type="containsText" priority="476" operator="containsText" aboveAverage="0" equalAverage="0" bottom="0" percent="0" rank="0" text="empreita" dxfId="2129">
      <formula>NOT(ISERROR(SEARCH("empreita",N25)))</formula>
    </cfRule>
    <cfRule type="containsText" priority="477" operator="containsText" aboveAverage="0" equalAverage="0" bottom="0" percent="0" rank="0" text="previsto" dxfId="2130">
      <formula>NOT(ISERROR(SEARCH("previsto",N25)))</formula>
    </cfRule>
    <cfRule type="containsText" priority="478" operator="containsText" aboveAverage="0" equalAverage="0" bottom="0" percent="0" rank="0" text="produzindo" dxfId="2131">
      <formula>NOT(ISERROR(SEARCH("produzindo",N25)))</formula>
    </cfRule>
    <cfRule type="containsText" priority="479" operator="containsText" aboveAverage="0" equalAverage="0" bottom="0" percent="0" rank="0" text="material ok" dxfId="2132">
      <formula>NOT(ISERROR(SEARCH("material ok",N25)))</formula>
    </cfRule>
    <cfRule type="containsText" priority="480" operator="containsText" aboveAverage="0" equalAverage="0" bottom="0" percent="0" rank="0" text="a montar" dxfId="2133">
      <formula>NOT(ISERROR(SEARCH("a montar",N25)))</formula>
    </cfRule>
  </conditionalFormatting>
  <conditionalFormatting sqref="N25:N31">
    <cfRule type="containsText" priority="481" operator="containsText" aboveAverage="0" equalAverage="0" bottom="0" percent="0" rank="0" text="a serrar" dxfId="2134">
      <formula>NOT(ISERROR(SEARCH("a serrar",N25)))</formula>
    </cfRule>
    <cfRule type="containsText" priority="482" operator="containsText" aboveAverage="0" equalAverage="0" bottom="0" percent="0" rank="0" text="pronto" dxfId="2135">
      <formula>NOT(ISERROR(SEARCH("pronto",N25)))</formula>
    </cfRule>
    <cfRule type="containsText" priority="483" operator="containsText" aboveAverage="0" equalAverage="0" bottom="0" percent="0" rank="0" text="empreita" dxfId="2136">
      <formula>NOT(ISERROR(SEARCH("empreita",N25)))</formula>
    </cfRule>
    <cfRule type="containsText" priority="484" operator="containsText" aboveAverage="0" equalAverage="0" bottom="0" percent="0" rank="0" text="previsto" dxfId="2137">
      <formula>NOT(ISERROR(SEARCH("previsto",N25)))</formula>
    </cfRule>
    <cfRule type="containsText" priority="485" operator="containsText" aboveAverage="0" equalAverage="0" bottom="0" percent="0" rank="0" text="produzindo" dxfId="2138">
      <formula>NOT(ISERROR(SEARCH("produzindo",N25)))</formula>
    </cfRule>
    <cfRule type="containsText" priority="486" operator="containsText" aboveAverage="0" equalAverage="0" bottom="0" percent="0" rank="0" text="material ok" dxfId="2139">
      <formula>NOT(ISERROR(SEARCH("material ok",N25)))</formula>
    </cfRule>
  </conditionalFormatting>
  <conditionalFormatting sqref="N29:N31">
    <cfRule type="containsText" priority="487" operator="containsText" aboveAverage="0" equalAverage="0" bottom="0" percent="0" rank="0" text="a montar" dxfId="2140">
      <formula>NOT(ISERROR(SEARCH("a montar",N29)))</formula>
    </cfRule>
    <cfRule type="containsText" priority="488" operator="containsText" aboveAverage="0" equalAverage="0" bottom="0" percent="0" rank="0" text="a serrar" dxfId="2141">
      <formula>NOT(ISERROR(SEARCH("a serrar",N29)))</formula>
    </cfRule>
    <cfRule type="containsText" priority="489" operator="containsText" aboveAverage="0" equalAverage="0" bottom="0" percent="0" rank="0" text="pronto" dxfId="2142">
      <formula>NOT(ISERROR(SEARCH("pronto",N29)))</formula>
    </cfRule>
    <cfRule type="containsText" priority="490" operator="containsText" aboveAverage="0" equalAverage="0" bottom="0" percent="0" rank="0" text="empreita" dxfId="2143">
      <formula>NOT(ISERROR(SEARCH("empreita",N29)))</formula>
    </cfRule>
    <cfRule type="containsText" priority="491" operator="containsText" aboveAverage="0" equalAverage="0" bottom="0" percent="0" rank="0" text="previsto" dxfId="2144">
      <formula>NOT(ISERROR(SEARCH("previsto",N29)))</formula>
    </cfRule>
    <cfRule type="containsText" priority="492" operator="containsText" aboveAverage="0" equalAverage="0" bottom="0" percent="0" rank="0" text="produzindo" dxfId="2145">
      <formula>NOT(ISERROR(SEARCH("produzindo",N29)))</formula>
    </cfRule>
    <cfRule type="containsText" priority="493" operator="containsText" aboveAverage="0" equalAverage="0" bottom="0" percent="0" rank="0" text="material ok" dxfId="2146">
      <formula>NOT(ISERROR(SEARCH("material ok",N29)))</formula>
    </cfRule>
    <cfRule type="containsText" priority="494" operator="containsText" aboveAverage="0" equalAverage="0" bottom="0" percent="0" rank="0" text="a serrar" dxfId="2147">
      <formula>NOT(ISERROR(SEARCH("a serrar",N29)))</formula>
    </cfRule>
    <cfRule type="containsText" priority="495" operator="containsText" aboveAverage="0" equalAverage="0" bottom="0" percent="0" rank="0" text="pronto" dxfId="2148">
      <formula>NOT(ISERROR(SEARCH("pronto",N29)))</formula>
    </cfRule>
    <cfRule type="containsText" priority="496" operator="containsText" aboveAverage="0" equalAverage="0" bottom="0" percent="0" rank="0" text="empreita" dxfId="2149">
      <formula>NOT(ISERROR(SEARCH("empreita",N29)))</formula>
    </cfRule>
    <cfRule type="containsText" priority="497" operator="containsText" aboveAverage="0" equalAverage="0" bottom="0" percent="0" rank="0" text="previsto" dxfId="2150">
      <formula>NOT(ISERROR(SEARCH("previsto",N29)))</formula>
    </cfRule>
    <cfRule type="containsText" priority="498" operator="containsText" aboveAverage="0" equalAverage="0" bottom="0" percent="0" rank="0" text="produzindo" dxfId="2151">
      <formula>NOT(ISERROR(SEARCH("produzindo",N29)))</formula>
    </cfRule>
    <cfRule type="containsText" priority="499" operator="containsText" aboveAverage="0" equalAverage="0" bottom="0" percent="0" rank="0" text="material ok" dxfId="2152">
      <formula>NOT(ISERROR(SEARCH("material ok",N29)))</formula>
    </cfRule>
  </conditionalFormatting>
  <conditionalFormatting sqref="N29:N34">
    <cfRule type="containsText" priority="500" operator="containsText" aboveAverage="0" equalAverage="0" bottom="0" percent="0" rank="0" text="a montar" dxfId="2153">
      <formula>NOT(ISERROR(SEARCH("a montar",N29)))</formula>
    </cfRule>
  </conditionalFormatting>
  <conditionalFormatting sqref="N45:N48">
    <cfRule type="containsText" priority="501" operator="containsText" aboveAverage="0" equalAverage="0" bottom="0" percent="0" rank="0" text="a serrar" dxfId="2154">
      <formula>NOT(ISERROR(SEARCH("a serrar",N45)))</formula>
    </cfRule>
    <cfRule type="containsText" priority="502" operator="containsText" aboveAverage="0" equalAverage="0" bottom="0" percent="0" rank="0" text="pronto" dxfId="2155">
      <formula>NOT(ISERROR(SEARCH("pronto",N45)))</formula>
    </cfRule>
    <cfRule type="containsText" priority="503" operator="containsText" aboveAverage="0" equalAverage="0" bottom="0" percent="0" rank="0" text="empreita" dxfId="2156">
      <formula>NOT(ISERROR(SEARCH("empreita",N45)))</formula>
    </cfRule>
    <cfRule type="containsText" priority="504" operator="containsText" aboveAverage="0" equalAverage="0" bottom="0" percent="0" rank="0" text="previsto" dxfId="2157">
      <formula>NOT(ISERROR(SEARCH("previsto",N45)))</formula>
    </cfRule>
    <cfRule type="containsText" priority="505" operator="containsText" aboveAverage="0" equalAverage="0" bottom="0" percent="0" rank="0" text="produzindo" dxfId="2158">
      <formula>NOT(ISERROR(SEARCH("produzindo",N45)))</formula>
    </cfRule>
    <cfRule type="containsText" priority="506" operator="containsText" aboveAverage="0" equalAverage="0" bottom="0" percent="0" rank="0" text="material ok" dxfId="2159">
      <formula>NOT(ISERROR(SEARCH("material ok",N45)))</formula>
    </cfRule>
  </conditionalFormatting>
  <conditionalFormatting sqref="N32:N34">
    <cfRule type="containsText" priority="507" operator="containsText" aboveAverage="0" equalAverage="0" bottom="0" percent="0" rank="0" text="a serrar" dxfId="2160">
      <formula>NOT(ISERROR(SEARCH("a serrar",N32)))</formula>
    </cfRule>
    <cfRule type="containsText" priority="508" operator="containsText" aboveAverage="0" equalAverage="0" bottom="0" percent="0" rank="0" text="pronto" dxfId="2161">
      <formula>NOT(ISERROR(SEARCH("pronto",N32)))</formula>
    </cfRule>
    <cfRule type="containsText" priority="509" operator="containsText" aboveAverage="0" equalAverage="0" bottom="0" percent="0" rank="0" text="empreita" dxfId="2162">
      <formula>NOT(ISERROR(SEARCH("empreita",N32)))</formula>
    </cfRule>
    <cfRule type="containsText" priority="510" operator="containsText" aboveAverage="0" equalAverage="0" bottom="0" percent="0" rank="0" text="previsto" dxfId="2163">
      <formula>NOT(ISERROR(SEARCH("previsto",N32)))</formula>
    </cfRule>
    <cfRule type="containsText" priority="511" operator="containsText" aboveAverage="0" equalAverage="0" bottom="0" percent="0" rank="0" text="produzindo" dxfId="2164">
      <formula>NOT(ISERROR(SEARCH("produzindo",N32)))</formula>
    </cfRule>
    <cfRule type="containsText" priority="512" operator="containsText" aboveAverage="0" equalAverage="0" bottom="0" percent="0" rank="0" text="material ok" dxfId="2165">
      <formula>NOT(ISERROR(SEARCH("material ok",N32)))</formula>
    </cfRule>
    <cfRule type="containsText" priority="513" operator="containsText" aboveAverage="0" equalAverage="0" bottom="0" percent="0" rank="0" text="a serrar" dxfId="2166">
      <formula>NOT(ISERROR(SEARCH("a serrar",N32)))</formula>
    </cfRule>
    <cfRule type="containsText" priority="514" operator="containsText" aboveAverage="0" equalAverage="0" bottom="0" percent="0" rank="0" text="pronto" dxfId="2167">
      <formula>NOT(ISERROR(SEARCH("pronto",N32)))</formula>
    </cfRule>
    <cfRule type="containsText" priority="515" operator="containsText" aboveAverage="0" equalAverage="0" bottom="0" percent="0" rank="0" text="empreita" dxfId="2168">
      <formula>NOT(ISERROR(SEARCH("empreita",N32)))</formula>
    </cfRule>
    <cfRule type="containsText" priority="516" operator="containsText" aboveAverage="0" equalAverage="0" bottom="0" percent="0" rank="0" text="previsto" dxfId="2169">
      <formula>NOT(ISERROR(SEARCH("previsto",N32)))</formula>
    </cfRule>
    <cfRule type="containsText" priority="517" operator="containsText" aboveAverage="0" equalAverage="0" bottom="0" percent="0" rank="0" text="produzindo" dxfId="2170">
      <formula>NOT(ISERROR(SEARCH("produzindo",N32)))</formula>
    </cfRule>
    <cfRule type="containsText" priority="518" operator="containsText" aboveAverage="0" equalAverage="0" bottom="0" percent="0" rank="0" text="material ok" dxfId="2171">
      <formula>NOT(ISERROR(SEARCH("material ok",N32)))</formula>
    </cfRule>
    <cfRule type="containsText" priority="519" operator="containsText" aboveAverage="0" equalAverage="0" bottom="0" percent="0" rank="0" text="a montar" dxfId="2172">
      <formula>NOT(ISERROR(SEARCH("a montar",N32)))</formula>
    </cfRule>
  </conditionalFormatting>
  <conditionalFormatting sqref="N32:N37">
    <cfRule type="containsText" priority="520" operator="containsText" aboveAverage="0" equalAverage="0" bottom="0" percent="0" rank="0" text="a serrar" dxfId="2173">
      <formula>NOT(ISERROR(SEARCH("a serrar",N32)))</formula>
    </cfRule>
    <cfRule type="containsText" priority="521" operator="containsText" aboveAverage="0" equalAverage="0" bottom="0" percent="0" rank="0" text="pronto" dxfId="2174">
      <formula>NOT(ISERROR(SEARCH("pronto",N32)))</formula>
    </cfRule>
    <cfRule type="containsText" priority="522" operator="containsText" aboveAverage="0" equalAverage="0" bottom="0" percent="0" rank="0" text="empreita" dxfId="2175">
      <formula>NOT(ISERROR(SEARCH("empreita",N32)))</formula>
    </cfRule>
    <cfRule type="containsText" priority="523" operator="containsText" aboveAverage="0" equalAverage="0" bottom="0" percent="0" rank="0" text="previsto" dxfId="2176">
      <formula>NOT(ISERROR(SEARCH("previsto",N32)))</formula>
    </cfRule>
    <cfRule type="containsText" priority="524" operator="containsText" aboveAverage="0" equalAverage="0" bottom="0" percent="0" rank="0" text="produzindo" dxfId="2177">
      <formula>NOT(ISERROR(SEARCH("produzindo",N32)))</formula>
    </cfRule>
    <cfRule type="containsText" priority="525" operator="containsText" aboveAverage="0" equalAverage="0" bottom="0" percent="0" rank="0" text="material ok" dxfId="2178">
      <formula>NOT(ISERROR(SEARCH("material ok",N32)))</formula>
    </cfRule>
  </conditionalFormatting>
  <conditionalFormatting sqref="N21">
    <cfRule type="containsText" priority="526" operator="containsText" aboveAverage="0" equalAverage="0" bottom="0" percent="0" rank="0" text="a serrar" dxfId="2179">
      <formula>NOT(ISERROR(SEARCH("a serrar",N21)))</formula>
    </cfRule>
    <cfRule type="containsText" priority="527" operator="containsText" aboveAverage="0" equalAverage="0" bottom="0" percent="0" rank="0" text="pronto" dxfId="2180">
      <formula>NOT(ISERROR(SEARCH("pronto",N21)))</formula>
    </cfRule>
    <cfRule type="containsText" priority="528" operator="containsText" aboveAverage="0" equalAverage="0" bottom="0" percent="0" rank="0" text="empreita" dxfId="2181">
      <formula>NOT(ISERROR(SEARCH("empreita",N21)))</formula>
    </cfRule>
    <cfRule type="containsText" priority="529" operator="containsText" aboveAverage="0" equalAverage="0" bottom="0" percent="0" rank="0" text="previsto" dxfId="2182">
      <formula>NOT(ISERROR(SEARCH("previsto",N21)))</formula>
    </cfRule>
    <cfRule type="containsText" priority="530" operator="containsText" aboveAverage="0" equalAverage="0" bottom="0" percent="0" rank="0" text="produzindo" dxfId="2183">
      <formula>NOT(ISERROR(SEARCH("produzindo",N21)))</formula>
    </cfRule>
    <cfRule type="containsText" priority="531" operator="containsText" aboveAverage="0" equalAverage="0" bottom="0" percent="0" rank="0" text="material ok" dxfId="2184">
      <formula>NOT(ISERROR(SEARCH("material ok",N21)))</formula>
    </cfRule>
    <cfRule type="containsText" priority="532" operator="containsText" aboveAverage="0" equalAverage="0" bottom="0" percent="0" rank="0" text="a montar" dxfId="2185">
      <formula>NOT(ISERROR(SEARCH("a montar",N21)))</formula>
    </cfRule>
    <cfRule type="containsText" priority="533" operator="containsText" aboveAverage="0" equalAverage="0" bottom="0" percent="0" rank="0" text="a serrar" dxfId="2186">
      <formula>NOT(ISERROR(SEARCH("a serrar",N21)))</formula>
    </cfRule>
    <cfRule type="containsText" priority="534" operator="containsText" aboveAverage="0" equalAverage="0" bottom="0" percent="0" rank="0" text="pronto" dxfId="2187">
      <formula>NOT(ISERROR(SEARCH("pronto",N21)))</formula>
    </cfRule>
    <cfRule type="containsText" priority="535" operator="containsText" aboveAverage="0" equalAverage="0" bottom="0" percent="0" rank="0" text="empreita" dxfId="2188">
      <formula>NOT(ISERROR(SEARCH("empreita",N21)))</formula>
    </cfRule>
    <cfRule type="containsText" priority="536" operator="containsText" aboveAverage="0" equalAverage="0" bottom="0" percent="0" rank="0" text="previsto" dxfId="2189">
      <formula>NOT(ISERROR(SEARCH("previsto",N21)))</formula>
    </cfRule>
    <cfRule type="containsText" priority="537" operator="containsText" aboveAverage="0" equalAverage="0" bottom="0" percent="0" rank="0" text="produzindo" dxfId="2190">
      <formula>NOT(ISERROR(SEARCH("produzindo",N21)))</formula>
    </cfRule>
    <cfRule type="containsText" priority="538" operator="containsText" aboveAverage="0" equalAverage="0" bottom="0" percent="0" rank="0" text="material ok" dxfId="2191">
      <formula>NOT(ISERROR(SEARCH("material ok",N21)))</formula>
    </cfRule>
    <cfRule type="containsText" priority="539" operator="containsText" aboveAverage="0" equalAverage="0" bottom="0" percent="0" rank="0" text="a serrar" dxfId="2192">
      <formula>NOT(ISERROR(SEARCH("a serrar",N21)))</formula>
    </cfRule>
    <cfRule type="containsText" priority="540" operator="containsText" aboveAverage="0" equalAverage="0" bottom="0" percent="0" rank="0" text="pronto" dxfId="2193">
      <formula>NOT(ISERROR(SEARCH("pronto",N21)))</formula>
    </cfRule>
    <cfRule type="containsText" priority="541" operator="containsText" aboveAverage="0" equalAverage="0" bottom="0" percent="0" rank="0" text="empreita" dxfId="2194">
      <formula>NOT(ISERROR(SEARCH("empreita",N21)))</formula>
    </cfRule>
    <cfRule type="containsText" priority="542" operator="containsText" aboveAverage="0" equalAverage="0" bottom="0" percent="0" rank="0" text="previsto" dxfId="2195">
      <formula>NOT(ISERROR(SEARCH("previsto",N21)))</formula>
    </cfRule>
    <cfRule type="containsText" priority="543" operator="containsText" aboveAverage="0" equalAverage="0" bottom="0" percent="0" rank="0" text="produzindo" dxfId="2196">
      <formula>NOT(ISERROR(SEARCH("produzindo",N21)))</formula>
    </cfRule>
    <cfRule type="containsText" priority="544" operator="containsText" aboveAverage="0" equalAverage="0" bottom="0" percent="0" rank="0" text="material ok" dxfId="2197">
      <formula>NOT(ISERROR(SEARCH("material ok",N21)))</formula>
    </cfRule>
    <cfRule type="containsText" priority="545" operator="containsText" aboveAverage="0" equalAverage="0" bottom="0" percent="0" rank="0" text="a montar" dxfId="2198">
      <formula>NOT(ISERROR(SEARCH("a montar",N21)))</formula>
    </cfRule>
  </conditionalFormatting>
  <conditionalFormatting sqref="N18:N24">
    <cfRule type="containsText" priority="546" operator="containsText" aboveAverage="0" equalAverage="0" bottom="0" percent="0" rank="0" text="a serrar" dxfId="2199">
      <formula>NOT(ISERROR(SEARCH("a serrar",N18)))</formula>
    </cfRule>
    <cfRule type="containsText" priority="547" operator="containsText" aboveAverage="0" equalAverage="0" bottom="0" percent="0" rank="0" text="pronto" dxfId="2200">
      <formula>NOT(ISERROR(SEARCH("pronto",N18)))</formula>
    </cfRule>
    <cfRule type="containsText" priority="548" operator="containsText" aboveAverage="0" equalAverage="0" bottom="0" percent="0" rank="0" text="empreita" dxfId="2201">
      <formula>NOT(ISERROR(SEARCH("empreita",N18)))</formula>
    </cfRule>
    <cfRule type="containsText" priority="549" operator="containsText" aboveAverage="0" equalAverage="0" bottom="0" percent="0" rank="0" text="previsto" dxfId="2202">
      <formula>NOT(ISERROR(SEARCH("previsto",N18)))</formula>
    </cfRule>
    <cfRule type="containsText" priority="550" operator="containsText" aboveAverage="0" equalAverage="0" bottom="0" percent="0" rank="0" text="produzindo" dxfId="2203">
      <formula>NOT(ISERROR(SEARCH("produzindo",N18)))</formula>
    </cfRule>
    <cfRule type="containsText" priority="551" operator="containsText" aboveAverage="0" equalAverage="0" bottom="0" percent="0" rank="0" text="material ok" dxfId="2204">
      <formula>NOT(ISERROR(SEARCH("material ok",N18)))</formula>
    </cfRule>
  </conditionalFormatting>
  <conditionalFormatting sqref="N22:N24">
    <cfRule type="containsText" priority="552" operator="containsText" aboveAverage="0" equalAverage="0" bottom="0" percent="0" rank="0" text="a montar" dxfId="2205">
      <formula>NOT(ISERROR(SEARCH("a montar",N22)))</formula>
    </cfRule>
    <cfRule type="containsText" priority="553" operator="containsText" aboveAverage="0" equalAverage="0" bottom="0" percent="0" rank="0" text="a serrar" dxfId="2206">
      <formula>NOT(ISERROR(SEARCH("a serrar",N22)))</formula>
    </cfRule>
    <cfRule type="containsText" priority="554" operator="containsText" aboveAverage="0" equalAverage="0" bottom="0" percent="0" rank="0" text="pronto" dxfId="2207">
      <formula>NOT(ISERROR(SEARCH("pronto",N22)))</formula>
    </cfRule>
    <cfRule type="containsText" priority="555" operator="containsText" aboveAverage="0" equalAverage="0" bottom="0" percent="0" rank="0" text="empreita" dxfId="2208">
      <formula>NOT(ISERROR(SEARCH("empreita",N22)))</formula>
    </cfRule>
    <cfRule type="containsText" priority="556" operator="containsText" aboveAverage="0" equalAverage="0" bottom="0" percent="0" rank="0" text="previsto" dxfId="2209">
      <formula>NOT(ISERROR(SEARCH("previsto",N22)))</formula>
    </cfRule>
    <cfRule type="containsText" priority="557" operator="containsText" aboveAverage="0" equalAverage="0" bottom="0" percent="0" rank="0" text="produzindo" dxfId="2210">
      <formula>NOT(ISERROR(SEARCH("produzindo",N22)))</formula>
    </cfRule>
    <cfRule type="containsText" priority="558" operator="containsText" aboveAverage="0" equalAverage="0" bottom="0" percent="0" rank="0" text="material ok" dxfId="2211">
      <formula>NOT(ISERROR(SEARCH("material ok",N22)))</formula>
    </cfRule>
    <cfRule type="containsText" priority="559" operator="containsText" aboveAverage="0" equalAverage="0" bottom="0" percent="0" rank="0" text="a serrar" dxfId="2212">
      <formula>NOT(ISERROR(SEARCH("a serrar",N22)))</formula>
    </cfRule>
    <cfRule type="containsText" priority="560" operator="containsText" aboveAverage="0" equalAverage="0" bottom="0" percent="0" rank="0" text="pronto" dxfId="2213">
      <formula>NOT(ISERROR(SEARCH("pronto",N22)))</formula>
    </cfRule>
    <cfRule type="containsText" priority="561" operator="containsText" aboveAverage="0" equalAverage="0" bottom="0" percent="0" rank="0" text="empreita" dxfId="2214">
      <formula>NOT(ISERROR(SEARCH("empreita",N22)))</formula>
    </cfRule>
    <cfRule type="containsText" priority="562" operator="containsText" aboveAverage="0" equalAverage="0" bottom="0" percent="0" rank="0" text="previsto" dxfId="2215">
      <formula>NOT(ISERROR(SEARCH("previsto",N22)))</formula>
    </cfRule>
    <cfRule type="containsText" priority="563" operator="containsText" aboveAverage="0" equalAverage="0" bottom="0" percent="0" rank="0" text="produzindo" dxfId="2216">
      <formula>NOT(ISERROR(SEARCH("produzindo",N22)))</formula>
    </cfRule>
    <cfRule type="containsText" priority="564" operator="containsText" aboveAverage="0" equalAverage="0" bottom="0" percent="0" rank="0" text="material ok" dxfId="2217">
      <formula>NOT(ISERROR(SEARCH("material ok",N22)))</formula>
    </cfRule>
    <cfRule type="containsText" priority="565" operator="containsText" aboveAverage="0" equalAverage="0" bottom="0" percent="0" rank="0" text="a montar" dxfId="2218">
      <formula>NOT(ISERROR(SEARCH("a montar",N22)))</formula>
    </cfRule>
    <cfRule type="containsText" priority="566" operator="containsText" aboveAverage="0" equalAverage="0" bottom="0" percent="0" rank="0" text="a serrar" dxfId="2219">
      <formula>NOT(ISERROR(SEARCH("a serrar",N22)))</formula>
    </cfRule>
    <cfRule type="containsText" priority="567" operator="containsText" aboveAverage="0" equalAverage="0" bottom="0" percent="0" rank="0" text="pronto" dxfId="2220">
      <formula>NOT(ISERROR(SEARCH("pronto",N22)))</formula>
    </cfRule>
    <cfRule type="containsText" priority="568" operator="containsText" aboveAverage="0" equalAverage="0" bottom="0" percent="0" rank="0" text="empreita" dxfId="2221">
      <formula>NOT(ISERROR(SEARCH("empreita",N22)))</formula>
    </cfRule>
    <cfRule type="containsText" priority="569" operator="containsText" aboveAverage="0" equalAverage="0" bottom="0" percent="0" rank="0" text="previsto" dxfId="2222">
      <formula>NOT(ISERROR(SEARCH("previsto",N22)))</formula>
    </cfRule>
    <cfRule type="containsText" priority="570" operator="containsText" aboveAverage="0" equalAverage="0" bottom="0" percent="0" rank="0" text="produzindo" dxfId="2223">
      <formula>NOT(ISERROR(SEARCH("produzindo",N22)))</formula>
    </cfRule>
    <cfRule type="containsText" priority="571" operator="containsText" aboveAverage="0" equalAverage="0" bottom="0" percent="0" rank="0" text="material ok" dxfId="2224">
      <formula>NOT(ISERROR(SEARCH("material ok",N22)))</formula>
    </cfRule>
  </conditionalFormatting>
  <conditionalFormatting sqref="N35:N37">
    <cfRule type="containsText" priority="572" operator="containsText" aboveAverage="0" equalAverage="0" bottom="0" percent="0" rank="0" text="a montar" dxfId="2225">
      <formula>NOT(ISERROR(SEARCH("a montar",N35)))</formula>
    </cfRule>
    <cfRule type="containsText" priority="573" operator="containsText" aboveAverage="0" equalAverage="0" bottom="0" percent="0" rank="0" text="a serrar" dxfId="2226">
      <formula>NOT(ISERROR(SEARCH("a serrar",N35)))</formula>
    </cfRule>
    <cfRule type="containsText" priority="574" operator="containsText" aboveAverage="0" equalAverage="0" bottom="0" percent="0" rank="0" text="pronto" dxfId="2227">
      <formula>NOT(ISERROR(SEARCH("pronto",N35)))</formula>
    </cfRule>
    <cfRule type="containsText" priority="575" operator="containsText" aboveAverage="0" equalAverage="0" bottom="0" percent="0" rank="0" text="empreita" dxfId="2228">
      <formula>NOT(ISERROR(SEARCH("empreita",N35)))</formula>
    </cfRule>
    <cfRule type="containsText" priority="576" operator="containsText" aboveAverage="0" equalAverage="0" bottom="0" percent="0" rank="0" text="previsto" dxfId="2229">
      <formula>NOT(ISERROR(SEARCH("previsto",N35)))</formula>
    </cfRule>
    <cfRule type="containsText" priority="577" operator="containsText" aboveAverage="0" equalAverage="0" bottom="0" percent="0" rank="0" text="produzindo" dxfId="2230">
      <formula>NOT(ISERROR(SEARCH("produzindo",N35)))</formula>
    </cfRule>
    <cfRule type="containsText" priority="578" operator="containsText" aboveAverage="0" equalAverage="0" bottom="0" percent="0" rank="0" text="material ok" dxfId="2231">
      <formula>NOT(ISERROR(SEARCH("material ok",N35)))</formula>
    </cfRule>
    <cfRule type="containsText" priority="579" operator="containsText" aboveAverage="0" equalAverage="0" bottom="0" percent="0" rank="0" text="a serrar" dxfId="2232">
      <formula>NOT(ISERROR(SEARCH("a serrar",N35)))</formula>
    </cfRule>
    <cfRule type="containsText" priority="580" operator="containsText" aboveAverage="0" equalAverage="0" bottom="0" percent="0" rank="0" text="pronto" dxfId="2233">
      <formula>NOT(ISERROR(SEARCH("pronto",N35)))</formula>
    </cfRule>
    <cfRule type="containsText" priority="581" operator="containsText" aboveAverage="0" equalAverage="0" bottom="0" percent="0" rank="0" text="empreita" dxfId="2234">
      <formula>NOT(ISERROR(SEARCH("empreita",N35)))</formula>
    </cfRule>
    <cfRule type="containsText" priority="582" operator="containsText" aboveAverage="0" equalAverage="0" bottom="0" percent="0" rank="0" text="previsto" dxfId="2235">
      <formula>NOT(ISERROR(SEARCH("previsto",N35)))</formula>
    </cfRule>
    <cfRule type="containsText" priority="583" operator="containsText" aboveAverage="0" equalAverage="0" bottom="0" percent="0" rank="0" text="produzindo" dxfId="2236">
      <formula>NOT(ISERROR(SEARCH("produzindo",N35)))</formula>
    </cfRule>
    <cfRule type="containsText" priority="584" operator="containsText" aboveAverage="0" equalAverage="0" bottom="0" percent="0" rank="0" text="material ok" dxfId="2237">
      <formula>NOT(ISERROR(SEARCH("material ok",N35)))</formula>
    </cfRule>
  </conditionalFormatting>
  <conditionalFormatting sqref="N35:N50">
    <cfRule type="containsText" priority="585" operator="containsText" aboveAverage="0" equalAverage="0" bottom="0" percent="0" rank="0" text="a montar" dxfId="2238">
      <formula>NOT(ISERROR(SEARCH("a montar",N35)))</formula>
    </cfRule>
  </conditionalFormatting>
  <conditionalFormatting sqref="N29:N48">
    <cfRule type="containsText" priority="586" operator="containsText" aboveAverage="0" equalAverage="0" bottom="0" percent="0" rank="0" text="a serrar" dxfId="2239">
      <formula>NOT(ISERROR(SEARCH("a serrar",N29)))</formula>
    </cfRule>
    <cfRule type="containsText" priority="587" operator="containsText" aboveAverage="0" equalAverage="0" bottom="0" percent="0" rank="0" text="pronto" dxfId="2240">
      <formula>NOT(ISERROR(SEARCH("pronto",N29)))</formula>
    </cfRule>
    <cfRule type="containsText" priority="588" operator="containsText" aboveAverage="0" equalAverage="0" bottom="0" percent="0" rank="0" text="empreita" dxfId="2241">
      <formula>NOT(ISERROR(SEARCH("empreita",N29)))</formula>
    </cfRule>
    <cfRule type="containsText" priority="589" operator="containsText" aboveAverage="0" equalAverage="0" bottom="0" percent="0" rank="0" text="previsto" dxfId="2242">
      <formula>NOT(ISERROR(SEARCH("previsto",N29)))</formula>
    </cfRule>
    <cfRule type="containsText" priority="590" operator="containsText" aboveAverage="0" equalAverage="0" bottom="0" percent="0" rank="0" text="produzindo" dxfId="2243">
      <formula>NOT(ISERROR(SEARCH("produzindo",N29)))</formula>
    </cfRule>
    <cfRule type="containsText" priority="591" operator="containsText" aboveAverage="0" equalAverage="0" bottom="0" percent="0" rank="0" text="material ok" dxfId="2244">
      <formula>NOT(ISERROR(SEARCH("material ok",N29)))</formula>
    </cfRule>
  </conditionalFormatting>
  <conditionalFormatting sqref="N18:N20">
    <cfRule type="containsText" priority="592" operator="containsText" aboveAverage="0" equalAverage="0" bottom="0" percent="0" rank="0" text="a montar" dxfId="2245">
      <formula>NOT(ISERROR(SEARCH("a montar",N18)))</formula>
    </cfRule>
    <cfRule type="containsText" priority="593" operator="containsText" aboveAverage="0" equalAverage="0" bottom="0" percent="0" rank="0" text="a serrar" dxfId="2246">
      <formula>NOT(ISERROR(SEARCH("a serrar",N18)))</formula>
    </cfRule>
    <cfRule type="containsText" priority="594" operator="containsText" aboveAverage="0" equalAverage="0" bottom="0" percent="0" rank="0" text="pronto" dxfId="2247">
      <formula>NOT(ISERROR(SEARCH("pronto",N18)))</formula>
    </cfRule>
    <cfRule type="containsText" priority="595" operator="containsText" aboveAverage="0" equalAverage="0" bottom="0" percent="0" rank="0" text="empreita" dxfId="2248">
      <formula>NOT(ISERROR(SEARCH("empreita",N18)))</formula>
    </cfRule>
    <cfRule type="containsText" priority="596" operator="containsText" aboveAverage="0" equalAverage="0" bottom="0" percent="0" rank="0" text="previsto" dxfId="2249">
      <formula>NOT(ISERROR(SEARCH("previsto",N18)))</formula>
    </cfRule>
    <cfRule type="containsText" priority="597" operator="containsText" aboveAverage="0" equalAverage="0" bottom="0" percent="0" rank="0" text="produzindo" dxfId="2250">
      <formula>NOT(ISERROR(SEARCH("produzindo",N18)))</formula>
    </cfRule>
    <cfRule type="containsText" priority="598" operator="containsText" aboveAverage="0" equalAverage="0" bottom="0" percent="0" rank="0" text="material ok" dxfId="2251">
      <formula>NOT(ISERROR(SEARCH("material ok",N18)))</formula>
    </cfRule>
  </conditionalFormatting>
  <conditionalFormatting sqref="N16:N20">
    <cfRule type="containsText" priority="599" operator="containsText" aboveAverage="0" equalAverage="0" bottom="0" percent="0" rank="0" text="a serrar" dxfId="2252">
      <formula>NOT(ISERROR(SEARCH("a serrar",N16)))</formula>
    </cfRule>
    <cfRule type="containsText" priority="600" operator="containsText" aboveAverage="0" equalAverage="0" bottom="0" percent="0" rank="0" text="pronto" dxfId="2253">
      <formula>NOT(ISERROR(SEARCH("pronto",N16)))</formula>
    </cfRule>
    <cfRule type="containsText" priority="601" operator="containsText" aboveAverage="0" equalAverage="0" bottom="0" percent="0" rank="0" text="empreita" dxfId="2254">
      <formula>NOT(ISERROR(SEARCH("empreita",N16)))</formula>
    </cfRule>
    <cfRule type="containsText" priority="602" operator="containsText" aboveAverage="0" equalAverage="0" bottom="0" percent="0" rank="0" text="previsto" dxfId="2255">
      <formula>NOT(ISERROR(SEARCH("previsto",N16)))</formula>
    </cfRule>
    <cfRule type="containsText" priority="603" operator="containsText" aboveAverage="0" equalAverage="0" bottom="0" percent="0" rank="0" text="produzindo" dxfId="2256">
      <formula>NOT(ISERROR(SEARCH("produzindo",N16)))</formula>
    </cfRule>
    <cfRule type="containsText" priority="604" operator="containsText" aboveAverage="0" equalAverage="0" bottom="0" percent="0" rank="0" text="material ok" dxfId="2257">
      <formula>NOT(ISERROR(SEARCH("material ok",N16)))</formula>
    </cfRule>
  </conditionalFormatting>
  <conditionalFormatting sqref="N5:N9">
    <cfRule type="containsText" priority="605" operator="containsText" aboveAverage="0" equalAverage="0" bottom="0" percent="0" rank="0" text="a montar" dxfId="2258">
      <formula>NOT(ISERROR(SEARCH("a montar",N5)))</formula>
    </cfRule>
    <cfRule type="containsText" priority="606" operator="containsText" aboveAverage="0" equalAverage="0" bottom="0" percent="0" rank="0" text="a serrar" dxfId="2259">
      <formula>NOT(ISERROR(SEARCH("a serrar",N5)))</formula>
    </cfRule>
    <cfRule type="containsText" priority="607" operator="containsText" aboveAverage="0" equalAverage="0" bottom="0" percent="0" rank="0" text="pronto" dxfId="2260">
      <formula>NOT(ISERROR(SEARCH("pronto",N5)))</formula>
    </cfRule>
    <cfRule type="containsText" priority="608" operator="containsText" aboveAverage="0" equalAverage="0" bottom="0" percent="0" rank="0" text="empreita" dxfId="2261">
      <formula>NOT(ISERROR(SEARCH("empreita",N5)))</formula>
    </cfRule>
    <cfRule type="containsText" priority="609" operator="containsText" aboveAverage="0" equalAverage="0" bottom="0" percent="0" rank="0" text="previsto" dxfId="2262">
      <formula>NOT(ISERROR(SEARCH("previsto",N5)))</formula>
    </cfRule>
    <cfRule type="containsText" priority="610" operator="containsText" aboveAverage="0" equalAverage="0" bottom="0" percent="0" rank="0" text="produzindo" dxfId="2263">
      <formula>NOT(ISERROR(SEARCH("produzindo",N5)))</formula>
    </cfRule>
    <cfRule type="containsText" priority="611" operator="containsText" aboveAverage="0" equalAverage="0" bottom="0" percent="0" rank="0" text="material ok" dxfId="2264">
      <formula>NOT(ISERROR(SEARCH("material ok",N5)))</formula>
    </cfRule>
  </conditionalFormatting>
  <conditionalFormatting sqref="N16:N17">
    <cfRule type="containsText" priority="612" operator="containsText" aboveAverage="0" equalAverage="0" bottom="0" percent="0" rank="0" text="a serrar" dxfId="2265">
      <formula>NOT(ISERROR(SEARCH("a serrar",N16)))</formula>
    </cfRule>
    <cfRule type="containsText" priority="613" operator="containsText" aboveAverage="0" equalAverage="0" bottom="0" percent="0" rank="0" text="pronto" dxfId="2266">
      <formula>NOT(ISERROR(SEARCH("pronto",N16)))</formula>
    </cfRule>
    <cfRule type="containsText" priority="614" operator="containsText" aboveAverage="0" equalAverage="0" bottom="0" percent="0" rank="0" text="empreita" dxfId="2267">
      <formula>NOT(ISERROR(SEARCH("empreita",N16)))</formula>
    </cfRule>
    <cfRule type="containsText" priority="615" operator="containsText" aboveAverage="0" equalAverage="0" bottom="0" percent="0" rank="0" text="previsto" dxfId="2268">
      <formula>NOT(ISERROR(SEARCH("previsto",N16)))</formula>
    </cfRule>
    <cfRule type="containsText" priority="616" operator="containsText" aboveAverage="0" equalAverage="0" bottom="0" percent="0" rank="0" text="produzindo" dxfId="2269">
      <formula>NOT(ISERROR(SEARCH("produzindo",N16)))</formula>
    </cfRule>
    <cfRule type="containsText" priority="617" operator="containsText" aboveAverage="0" equalAverage="0" bottom="0" percent="0" rank="0" text="material ok" dxfId="2270">
      <formula>NOT(ISERROR(SEARCH("material ok",N16)))</formula>
    </cfRule>
  </conditionalFormatting>
  <conditionalFormatting sqref="N13:N20 N112 N125:N130 N132:N138 N147 N149:N157 N159:N176 N178:N201">
    <cfRule type="containsText" priority="618" operator="containsText" aboveAverage="0" equalAverage="0" bottom="0" percent="0" rank="0" text="a montar" dxfId="2271">
      <formula>NOT(ISERROR(SEARCH("a montar",N13)))</formula>
    </cfRule>
  </conditionalFormatting>
  <conditionalFormatting sqref="N13:N15 N18:N20">
    <cfRule type="containsText" priority="619" operator="containsText" aboveAverage="0" equalAverage="0" bottom="0" percent="0" rank="0" text="a serrar" dxfId="2272">
      <formula>NOT(ISERROR(SEARCH("a serrar",N13)))</formula>
    </cfRule>
    <cfRule type="containsText" priority="620" operator="containsText" aboveAverage="0" equalAverage="0" bottom="0" percent="0" rank="0" text="pronto" dxfId="2273">
      <formula>NOT(ISERROR(SEARCH("pronto",N13)))</formula>
    </cfRule>
    <cfRule type="containsText" priority="621" operator="containsText" aboveAverage="0" equalAverage="0" bottom="0" percent="0" rank="0" text="empreita" dxfId="2274">
      <formula>NOT(ISERROR(SEARCH("empreita",N13)))</formula>
    </cfRule>
    <cfRule type="containsText" priority="622" operator="containsText" aboveAverage="0" equalAverage="0" bottom="0" percent="0" rank="0" text="previsto" dxfId="2275">
      <formula>NOT(ISERROR(SEARCH("previsto",N13)))</formula>
    </cfRule>
    <cfRule type="containsText" priority="623" operator="containsText" aboveAverage="0" equalAverage="0" bottom="0" percent="0" rank="0" text="produzindo" dxfId="2276">
      <formula>NOT(ISERROR(SEARCH("produzindo",N13)))</formula>
    </cfRule>
    <cfRule type="containsText" priority="624" operator="containsText" aboveAverage="0" equalAverage="0" bottom="0" percent="0" rank="0" text="material ok" dxfId="2277">
      <formula>NOT(ISERROR(SEARCH("material ok",N13)))</formula>
    </cfRule>
  </conditionalFormatting>
  <conditionalFormatting sqref="N10:N17 M1">
    <cfRule type="containsText" priority="625" operator="containsText" aboveAverage="0" equalAverage="0" bottom="0" percent="0" rank="0" text="a montar" dxfId="2278">
      <formula>NOT(ISERROR(SEARCH("a montar",M1)))</formula>
    </cfRule>
  </conditionalFormatting>
  <conditionalFormatting sqref="M1 N10:N17">
    <cfRule type="containsText" priority="626" operator="containsText" aboveAverage="0" equalAverage="0" bottom="0" percent="0" rank="0" text="a serrar" dxfId="2279">
      <formula>NOT(ISERROR(SEARCH("a serrar",M1)))</formula>
    </cfRule>
    <cfRule type="containsText" priority="627" operator="containsText" aboveAverage="0" equalAverage="0" bottom="0" percent="0" rank="0" text="pronto" dxfId="2280">
      <formula>NOT(ISERROR(SEARCH("pronto",M1)))</formula>
    </cfRule>
    <cfRule type="containsText" priority="628" operator="containsText" aboveAverage="0" equalAverage="0" bottom="0" percent="0" rank="0" text="empreita" dxfId="2281">
      <formula>NOT(ISERROR(SEARCH("empreita",M1)))</formula>
    </cfRule>
    <cfRule type="containsText" priority="629" operator="containsText" aboveAverage="0" equalAverage="0" bottom="0" percent="0" rank="0" text="previsto" dxfId="2282">
      <formula>NOT(ISERROR(SEARCH("previsto",M1)))</formula>
    </cfRule>
    <cfRule type="containsText" priority="630" operator="containsText" aboveAverage="0" equalAverage="0" bottom="0" percent="0" rank="0" text="produzindo" dxfId="2283">
      <formula>NOT(ISERROR(SEARCH("produzindo",M1)))</formula>
    </cfRule>
    <cfRule type="containsText" priority="631" operator="containsText" aboveAverage="0" equalAverage="0" bottom="0" percent="0" rank="0" text="material ok" dxfId="2284">
      <formula>NOT(ISERROR(SEARCH("material ok",M1)))</formula>
    </cfRule>
  </conditionalFormatting>
  <conditionalFormatting sqref="N53:N62 J1">
    <cfRule type="containsText" priority="632" operator="containsText" aboveAverage="0" equalAverage="0" bottom="0" percent="0" rank="0" text="a montar" dxfId="2285">
      <formula>NOT(ISERROR(SEARCH("a montar",J1)))</formula>
    </cfRule>
  </conditionalFormatting>
  <conditionalFormatting sqref="J1 N53:N62 N112 N125:N130 N132:N138 N147 N149:N157 N159:N176 N178:N201 N45:N50">
    <cfRule type="containsText" priority="633" operator="containsText" aboveAverage="0" equalAverage="0" bottom="0" percent="0" rank="0" text="a serrar" dxfId="2286">
      <formula>NOT(ISERROR(SEARCH("a serrar",J1)))</formula>
    </cfRule>
  </conditionalFormatting>
  <conditionalFormatting sqref="J1 N45:N50 N53:N62 N112 N125:N130 N132:N138 N147 N149:N157 N159:N176 N178:N201">
    <cfRule type="containsText" priority="634" operator="containsText" aboveAverage="0" equalAverage="0" bottom="0" percent="0" rank="0" text="pronto" dxfId="2287">
      <formula>NOT(ISERROR(SEARCH("pronto",J1)))</formula>
    </cfRule>
    <cfRule type="containsText" priority="635" operator="containsText" aboveAverage="0" equalAverage="0" bottom="0" percent="0" rank="0" text="empreita" dxfId="2288">
      <formula>NOT(ISERROR(SEARCH("empreita",J1)))</formula>
    </cfRule>
    <cfRule type="containsText" priority="636" operator="containsText" aboveAverage="0" equalAverage="0" bottom="0" percent="0" rank="0" text="previsto" dxfId="2289">
      <formula>NOT(ISERROR(SEARCH("previsto",J1)))</formula>
    </cfRule>
    <cfRule type="containsText" priority="637" operator="containsText" aboveAverage="0" equalAverage="0" bottom="0" percent="0" rank="0" text="produzindo" dxfId="2290">
      <formula>NOT(ISERROR(SEARCH("produzindo",J1)))</formula>
    </cfRule>
    <cfRule type="containsText" priority="638" operator="containsText" aboveAverage="0" equalAverage="0" bottom="0" percent="0" rank="0" text="material ok" dxfId="2291">
      <formula>NOT(ISERROR(SEARCH("material ok",J1)))</formula>
    </cfRule>
  </conditionalFormatting>
  <conditionalFormatting sqref="N1:N3">
    <cfRule type="containsText" priority="639" operator="containsText" aboveAverage="0" equalAverage="0" bottom="0" percent="0" rank="0" text="a montar" dxfId="2292">
      <formula>NOT(ISERROR(SEARCH("a montar",N1)))</formula>
    </cfRule>
    <cfRule type="containsText" priority="640" operator="containsText" aboveAverage="0" equalAverage="0" bottom="0" percent="0" rank="0" text="a serrar" dxfId="2293">
      <formula>NOT(ISERROR(SEARCH("a serrar",N1)))</formula>
    </cfRule>
    <cfRule type="containsText" priority="641" operator="containsText" aboveAverage="0" equalAverage="0" bottom="0" percent="0" rank="0" text="pronto" dxfId="2294">
      <formula>NOT(ISERROR(SEARCH("pronto",N1)))</formula>
    </cfRule>
    <cfRule type="containsText" priority="642" operator="containsText" aboveAverage="0" equalAverage="0" bottom="0" percent="0" rank="0" text="empreita" dxfId="2295">
      <formula>NOT(ISERROR(SEARCH("empreita",N1)))</formula>
    </cfRule>
    <cfRule type="containsText" priority="643" operator="containsText" aboveAverage="0" equalAverage="0" bottom="0" percent="0" rank="0" text="previsto" dxfId="2296">
      <formula>NOT(ISERROR(SEARCH("previsto",N1)))</formula>
    </cfRule>
    <cfRule type="containsText" priority="644" operator="containsText" aboveAverage="0" equalAverage="0" bottom="0" percent="0" rank="0" text="produzindo" dxfId="2297">
      <formula>NOT(ISERROR(SEARCH("produzindo",N1)))</formula>
    </cfRule>
    <cfRule type="containsText" priority="645" operator="containsText" aboveAverage="0" equalAverage="0" bottom="0" percent="0" rank="0" text="material ok" dxfId="2298">
      <formula>NOT(ISERROR(SEARCH("material ok",N1)))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71" activeCellId="0" sqref="G7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2" style="0" width="21.43"/>
    <col collapsed="false" customWidth="true" hidden="false" outlineLevel="0" max="3" min="3" style="0" width="20.86"/>
    <col collapsed="false" customWidth="true" hidden="false" outlineLevel="0" max="5" min="5" style="0" width="19.43"/>
    <col collapsed="false" customWidth="true" hidden="false" outlineLevel="0" max="7" min="7" style="0" width="10.29"/>
    <col collapsed="false" customWidth="true" hidden="false" outlineLevel="0" max="11" min="11" style="0" width="14.57"/>
    <col collapsed="false" customWidth="true" hidden="false" outlineLevel="0" max="13" min="13" style="0" width="13.86"/>
    <col collapsed="false" customWidth="true" hidden="false" outlineLevel="0" max="15" min="15" style="0" width="13"/>
    <col collapsed="false" customWidth="true" hidden="false" outlineLevel="0" max="16" min="16" style="1" width="13.71"/>
  </cols>
  <sheetData>
    <row r="1" customFormat="false" ht="16.4" hidden="false" customHeight="false" outlineLevel="0" collapsed="false">
      <c r="A1" s="1"/>
      <c r="C1" s="2"/>
      <c r="D1" s="1"/>
      <c r="F1" s="1"/>
      <c r="G1" s="1"/>
      <c r="H1" s="1"/>
      <c r="I1" s="1"/>
      <c r="J1" s="3" t="s">
        <v>0</v>
      </c>
      <c r="K1" s="4" t="s">
        <v>1</v>
      </c>
      <c r="L1" s="5" t="s">
        <v>2</v>
      </c>
      <c r="M1" s="6" t="s">
        <v>3</v>
      </c>
      <c r="N1" s="3" t="s">
        <v>4</v>
      </c>
      <c r="O1" s="7" t="s">
        <v>5</v>
      </c>
      <c r="P1" s="8" t="s">
        <v>6</v>
      </c>
      <c r="Q1" s="9" t="s">
        <v>3</v>
      </c>
      <c r="R1" s="10"/>
      <c r="S1" s="11"/>
    </row>
    <row r="2" customFormat="false" ht="15" hidden="false" customHeight="false" outlineLevel="0" collapsed="false">
      <c r="A2" s="1"/>
      <c r="C2" s="2"/>
      <c r="D2" s="1"/>
      <c r="F2" s="1"/>
      <c r="G2" s="1"/>
      <c r="H2" s="1"/>
      <c r="I2" s="1"/>
      <c r="J2" s="1"/>
      <c r="K2" s="12"/>
      <c r="L2" s="13"/>
      <c r="M2" s="14"/>
      <c r="N2" s="15"/>
      <c r="O2" s="10"/>
      <c r="Q2" s="11"/>
      <c r="R2" s="10"/>
      <c r="S2" s="11"/>
    </row>
    <row r="3" customFormat="false" ht="16.4" hidden="false" customHeight="false" outlineLevel="0" collapsed="false">
      <c r="A3" s="16" t="s">
        <v>7</v>
      </c>
      <c r="B3" s="16" t="s">
        <v>8</v>
      </c>
      <c r="C3" s="16" t="s">
        <v>9</v>
      </c>
      <c r="D3" s="16"/>
      <c r="E3" s="16" t="s">
        <v>10</v>
      </c>
      <c r="F3" s="16" t="s">
        <v>11</v>
      </c>
      <c r="G3" s="16" t="s">
        <v>12</v>
      </c>
      <c r="H3" s="17" t="s">
        <v>13</v>
      </c>
      <c r="I3" s="16" t="s">
        <v>14</v>
      </c>
      <c r="J3" s="16" t="s">
        <v>15</v>
      </c>
      <c r="K3" s="16" t="s">
        <v>16</v>
      </c>
      <c r="L3" s="18" t="s">
        <v>17</v>
      </c>
      <c r="M3" s="18" t="s">
        <v>18</v>
      </c>
      <c r="N3" s="19" t="s">
        <v>19</v>
      </c>
      <c r="O3" s="18"/>
      <c r="P3" s="16" t="s">
        <v>20</v>
      </c>
      <c r="Q3" s="20"/>
      <c r="R3" s="21"/>
      <c r="S3" s="16" t="s">
        <v>21</v>
      </c>
    </row>
    <row r="4" customFormat="false" ht="15" hidden="false" customHeight="false" outlineLevel="0" collapsed="false">
      <c r="A4" s="56"/>
      <c r="B4" s="56"/>
      <c r="C4" s="56"/>
      <c r="D4" s="56"/>
      <c r="E4" s="56"/>
      <c r="F4" s="56"/>
      <c r="G4" s="56"/>
      <c r="H4" s="57"/>
      <c r="I4" s="56"/>
      <c r="J4" s="56"/>
      <c r="K4" s="56"/>
      <c r="L4" s="58"/>
      <c r="M4" s="58"/>
      <c r="N4" s="59"/>
      <c r="O4" s="58"/>
      <c r="P4" s="56"/>
      <c r="Q4" s="60"/>
      <c r="R4" s="61"/>
      <c r="S4" s="56"/>
    </row>
    <row r="5" customFormat="false" ht="16.4" hidden="false" customHeight="false" outlineLevel="0" collapsed="false">
      <c r="A5" s="1" t="n">
        <v>6214</v>
      </c>
      <c r="B5" s="0" t="s">
        <v>425</v>
      </c>
      <c r="C5" s="0" t="s">
        <v>427</v>
      </c>
      <c r="D5" s="1" t="s">
        <v>53</v>
      </c>
      <c r="E5" s="0" t="s">
        <v>54</v>
      </c>
      <c r="F5" s="1" t="n">
        <v>2.44</v>
      </c>
      <c r="G5" s="1" t="n">
        <v>2.44</v>
      </c>
      <c r="H5" s="1" t="n">
        <f aca="false">-((G5*100/F5)-100)</f>
        <v>-0</v>
      </c>
      <c r="I5" s="33" t="n">
        <v>824.5</v>
      </c>
      <c r="J5" s="1" t="n">
        <f aca="false">(F5-G5)*I5</f>
        <v>0</v>
      </c>
      <c r="K5" s="1" t="n">
        <f aca="false">G5*I5</f>
        <v>2011.78</v>
      </c>
      <c r="M5" s="23" t="n">
        <v>4919</v>
      </c>
      <c r="N5" s="3" t="s">
        <v>4</v>
      </c>
      <c r="O5" s="23" t="n">
        <v>4919</v>
      </c>
      <c r="P5" s="1" t="s">
        <v>29</v>
      </c>
    </row>
    <row r="6" customFormat="false" ht="15" hidden="false" customHeight="false" outlineLevel="0" collapsed="false">
      <c r="J6" s="1" t="n">
        <f aca="false">(F6-G6)*I6</f>
        <v>0</v>
      </c>
      <c r="K6" s="1" t="n">
        <f aca="false">G6*I6</f>
        <v>0</v>
      </c>
    </row>
    <row r="7" customFormat="false" ht="16.4" hidden="false" customHeight="false" outlineLevel="0" collapsed="false">
      <c r="A7" s="1" t="n">
        <v>6214</v>
      </c>
      <c r="B7" s="0" t="s">
        <v>425</v>
      </c>
      <c r="E7" s="0" t="s">
        <v>46</v>
      </c>
      <c r="F7" s="1" t="n">
        <v>0</v>
      </c>
      <c r="G7" s="1" t="n">
        <v>0</v>
      </c>
      <c r="H7" s="1" t="e">
        <f aca="false">-((G7*100/F7)-100)</f>
        <v>#DIV/0!</v>
      </c>
      <c r="I7" s="33" t="n">
        <v>0</v>
      </c>
      <c r="J7" s="1" t="n">
        <f aca="false">(F7-G7)*I7</f>
        <v>0</v>
      </c>
      <c r="K7" s="1" t="n">
        <f aca="false">G7*I7</f>
        <v>0</v>
      </c>
      <c r="M7" s="23" t="n">
        <v>352</v>
      </c>
      <c r="N7" s="1" t="s">
        <v>4</v>
      </c>
      <c r="O7" s="23" t="n">
        <v>352</v>
      </c>
      <c r="P7" s="1" t="s">
        <v>31</v>
      </c>
    </row>
    <row r="8" customFormat="false" ht="15" hidden="false" customHeight="false" outlineLevel="0" collapsed="false">
      <c r="A8" s="1"/>
      <c r="G8" s="1"/>
      <c r="H8" s="1"/>
      <c r="J8" s="1" t="n">
        <f aca="false">(F8-G8)*I8</f>
        <v>0</v>
      </c>
      <c r="K8" s="1" t="n">
        <f aca="false">G8*I8</f>
        <v>0</v>
      </c>
      <c r="M8" s="23"/>
      <c r="N8" s="26"/>
      <c r="O8" s="23"/>
    </row>
    <row r="9" customFormat="false" ht="16.4" hidden="false" customHeight="false" outlineLevel="0" collapsed="false">
      <c r="A9" s="1" t="n">
        <v>6223</v>
      </c>
      <c r="B9" s="0" t="s">
        <v>428</v>
      </c>
      <c r="C9" s="0" t="s">
        <v>34</v>
      </c>
      <c r="D9" s="1" t="s">
        <v>24</v>
      </c>
      <c r="E9" s="0" t="s">
        <v>85</v>
      </c>
      <c r="F9" s="1" t="n">
        <v>1.28</v>
      </c>
      <c r="G9" s="1" t="n">
        <v>1.28</v>
      </c>
      <c r="H9" s="1" t="n">
        <f aca="false">-((G9*100/F9)-100)</f>
        <v>-0</v>
      </c>
      <c r="I9" s="33" t="n">
        <v>119</v>
      </c>
      <c r="J9" s="1" t="n">
        <f aca="false">(F9-G9)*I9</f>
        <v>0</v>
      </c>
      <c r="K9" s="1" t="n">
        <f aca="false">G9*I9</f>
        <v>152.32</v>
      </c>
      <c r="M9" s="23" t="n">
        <v>690</v>
      </c>
      <c r="N9" s="1" t="s">
        <v>4</v>
      </c>
      <c r="O9" s="23" t="n">
        <v>690</v>
      </c>
      <c r="P9" s="1" t="s">
        <v>31</v>
      </c>
    </row>
    <row r="10" customFormat="false" ht="15" hidden="false" customHeight="false" outlineLevel="0" collapsed="false">
      <c r="J10" s="1" t="n">
        <f aca="false">(F10-G10)*I10</f>
        <v>0</v>
      </c>
      <c r="K10" s="1" t="n">
        <f aca="false">G10*I10</f>
        <v>0</v>
      </c>
    </row>
    <row r="11" customFormat="false" ht="16.4" hidden="false" customHeight="false" outlineLevel="0" collapsed="false">
      <c r="A11" s="1" t="n">
        <v>6220</v>
      </c>
      <c r="B11" s="0" t="s">
        <v>429</v>
      </c>
      <c r="C11" s="0" t="s">
        <v>430</v>
      </c>
      <c r="D11" s="1" t="s">
        <v>24</v>
      </c>
      <c r="E11" s="0" t="s">
        <v>318</v>
      </c>
      <c r="F11" s="1" t="n">
        <v>4.09</v>
      </c>
      <c r="G11" s="1" t="n">
        <v>3.9</v>
      </c>
      <c r="H11" s="1" t="n">
        <f aca="false">-((G11*100/F11)-100)</f>
        <v>4.64547677261614</v>
      </c>
      <c r="I11" s="33" t="n">
        <v>204</v>
      </c>
      <c r="J11" s="1" t="n">
        <f aca="false">(F11-G11)*I11</f>
        <v>38.76</v>
      </c>
      <c r="K11" s="1" t="n">
        <f aca="false">G11*I11</f>
        <v>795.6</v>
      </c>
      <c r="M11" s="23" t="n">
        <v>4895</v>
      </c>
      <c r="N11" s="3" t="s">
        <v>4</v>
      </c>
      <c r="O11" s="23" t="n">
        <v>4895</v>
      </c>
      <c r="P11" s="1" t="s">
        <v>26</v>
      </c>
    </row>
    <row r="12" customFormat="false" ht="15" hidden="false" customHeight="false" outlineLevel="0" collapsed="false">
      <c r="J12" s="1" t="n">
        <f aca="false">(F12-G12)*I12</f>
        <v>0</v>
      </c>
      <c r="K12" s="1" t="n">
        <f aca="false">G12*I12</f>
        <v>0</v>
      </c>
    </row>
    <row r="13" customFormat="false" ht="16.4" hidden="false" customHeight="false" outlineLevel="0" collapsed="false">
      <c r="A13" s="1" t="n">
        <v>6207</v>
      </c>
      <c r="B13" s="0" t="s">
        <v>431</v>
      </c>
      <c r="C13" s="0" t="s">
        <v>138</v>
      </c>
      <c r="D13" s="1" t="s">
        <v>53</v>
      </c>
      <c r="E13" s="0" t="s">
        <v>54</v>
      </c>
      <c r="F13" s="1" t="n">
        <v>8.3</v>
      </c>
      <c r="G13" s="1" t="n">
        <v>8.3</v>
      </c>
      <c r="H13" s="1" t="n">
        <f aca="false">-((G13*100/F13)-100)</f>
        <v>-0</v>
      </c>
      <c r="I13" s="33" t="n">
        <v>824</v>
      </c>
      <c r="J13" s="1" t="n">
        <f aca="false">(F13-G13)*I13</f>
        <v>0</v>
      </c>
      <c r="K13" s="1" t="n">
        <f aca="false">G13*I13</f>
        <v>6839.2</v>
      </c>
      <c r="M13" s="23" t="n">
        <v>15000</v>
      </c>
      <c r="N13" s="3" t="s">
        <v>4</v>
      </c>
      <c r="O13" s="23" t="n">
        <v>15000</v>
      </c>
      <c r="P13" s="1" t="s">
        <v>26</v>
      </c>
    </row>
    <row r="14" customFormat="false" ht="15" hidden="false" customHeight="false" outlineLevel="0" collapsed="false">
      <c r="A14" s="1"/>
      <c r="D14" s="1"/>
      <c r="F14" s="1"/>
      <c r="G14" s="1"/>
      <c r="H14" s="1"/>
      <c r="I14" s="1"/>
      <c r="J14" s="1" t="n">
        <f aca="false">(F14-G14)*I14</f>
        <v>0</v>
      </c>
      <c r="K14" s="1" t="n">
        <f aca="false">G14*I14</f>
        <v>0</v>
      </c>
      <c r="M14" s="23"/>
      <c r="N14" s="3"/>
      <c r="O14" s="23"/>
    </row>
    <row r="15" customFormat="false" ht="16.4" hidden="false" customHeight="false" outlineLevel="0" collapsed="false">
      <c r="A15" s="1" t="n">
        <v>6214</v>
      </c>
      <c r="B15" s="0" t="s">
        <v>425</v>
      </c>
      <c r="C15" s="0" t="s">
        <v>97</v>
      </c>
      <c r="D15" s="1" t="s">
        <v>53</v>
      </c>
      <c r="E15" s="0" t="s">
        <v>432</v>
      </c>
      <c r="F15" s="1" t="n">
        <v>2.13</v>
      </c>
      <c r="G15" s="1" t="n">
        <v>2.13</v>
      </c>
      <c r="H15" s="1" t="n">
        <f aca="false">-((G15*100/F15)-100)</f>
        <v>-0</v>
      </c>
      <c r="I15" s="33" t="n">
        <v>582</v>
      </c>
      <c r="J15" s="1" t="n">
        <f aca="false">(F15-G15)*I15</f>
        <v>0</v>
      </c>
      <c r="K15" s="1" t="n">
        <f aca="false">G15*I15</f>
        <v>1239.66</v>
      </c>
      <c r="M15" s="23" t="n">
        <v>3786</v>
      </c>
      <c r="N15" s="3" t="s">
        <v>4</v>
      </c>
      <c r="O15" s="23" t="n">
        <v>3786</v>
      </c>
      <c r="P15" s="1" t="s">
        <v>29</v>
      </c>
    </row>
    <row r="16" customFormat="false" ht="16.4" hidden="false" customHeight="false" outlineLevel="0" collapsed="false">
      <c r="A16" s="1" t="n">
        <v>6214</v>
      </c>
      <c r="B16" s="0" t="s">
        <v>425</v>
      </c>
      <c r="C16" s="0" t="s">
        <v>98</v>
      </c>
      <c r="D16" s="1" t="s">
        <v>53</v>
      </c>
      <c r="E16" s="0" t="s">
        <v>432</v>
      </c>
      <c r="F16" s="1" t="n">
        <v>1.75</v>
      </c>
      <c r="G16" s="1" t="n">
        <v>1.75</v>
      </c>
      <c r="H16" s="1" t="n">
        <f aca="false">-((G16*100/F16)-100)</f>
        <v>-0</v>
      </c>
      <c r="I16" s="33" t="n">
        <v>582</v>
      </c>
      <c r="J16" s="1" t="n">
        <f aca="false">(F16-G16)*I16</f>
        <v>0</v>
      </c>
      <c r="K16" s="1" t="n">
        <f aca="false">G16*I16</f>
        <v>1018.5</v>
      </c>
      <c r="M16" s="23" t="n">
        <v>2993</v>
      </c>
      <c r="N16" s="3" t="s">
        <v>4</v>
      </c>
      <c r="O16" s="23" t="n">
        <v>2993</v>
      </c>
      <c r="P16" s="1" t="s">
        <v>29</v>
      </c>
    </row>
    <row r="17" customFormat="false" ht="15" hidden="false" customHeight="false" outlineLevel="0" collapsed="false">
      <c r="A17" s="1"/>
      <c r="D17" s="1"/>
      <c r="F17" s="1"/>
      <c r="G17" s="1"/>
      <c r="H17" s="1"/>
      <c r="I17" s="1"/>
      <c r="J17" s="1" t="n">
        <f aca="false">(F17-G17)*I17</f>
        <v>0</v>
      </c>
      <c r="K17" s="1" t="n">
        <f aca="false">G17*I17</f>
        <v>0</v>
      </c>
      <c r="M17" s="23"/>
      <c r="N17" s="3"/>
      <c r="O17" s="23"/>
    </row>
    <row r="18" customFormat="false" ht="16.4" hidden="false" customHeight="false" outlineLevel="0" collapsed="false">
      <c r="A18" s="1" t="n">
        <v>6187</v>
      </c>
      <c r="B18" s="0" t="s">
        <v>433</v>
      </c>
      <c r="C18" s="0" t="s">
        <v>434</v>
      </c>
      <c r="D18" s="1" t="s">
        <v>53</v>
      </c>
      <c r="E18" s="0" t="s">
        <v>54</v>
      </c>
      <c r="F18" s="1" t="n">
        <v>0.98</v>
      </c>
      <c r="G18" s="1" t="n">
        <v>0.98</v>
      </c>
      <c r="H18" s="1" t="n">
        <f aca="false">-((G18*100/F18)-100)</f>
        <v>-0</v>
      </c>
      <c r="I18" s="33" t="n">
        <v>824</v>
      </c>
      <c r="J18" s="1" t="n">
        <f aca="false">(F18-G18)*I18</f>
        <v>0</v>
      </c>
      <c r="K18" s="1" t="n">
        <f aca="false">G18*I18</f>
        <v>807.52</v>
      </c>
      <c r="M18" s="23" t="n">
        <v>1976</v>
      </c>
      <c r="N18" s="3" t="s">
        <v>4</v>
      </c>
      <c r="O18" s="23" t="n">
        <v>1976</v>
      </c>
      <c r="P18" s="1" t="s">
        <v>29</v>
      </c>
    </row>
    <row r="19" customFormat="false" ht="16.4" hidden="false" customHeight="false" outlineLevel="0" collapsed="false">
      <c r="A19" s="1" t="n">
        <v>6187</v>
      </c>
      <c r="B19" s="0" t="s">
        <v>433</v>
      </c>
      <c r="C19" s="0" t="s">
        <v>435</v>
      </c>
      <c r="D19" s="1" t="s">
        <v>53</v>
      </c>
      <c r="E19" s="0" t="s">
        <v>54</v>
      </c>
      <c r="F19" s="1" t="n">
        <v>0.76</v>
      </c>
      <c r="G19" s="1" t="n">
        <v>0.76</v>
      </c>
      <c r="H19" s="1" t="n">
        <f aca="false">-((G19*100/F19)-100)</f>
        <v>-0</v>
      </c>
      <c r="I19" s="33" t="n">
        <v>824</v>
      </c>
      <c r="J19" s="1" t="n">
        <f aca="false">(F19-G19)*I19</f>
        <v>0</v>
      </c>
      <c r="K19" s="1" t="n">
        <f aca="false">G19*I19</f>
        <v>626.24</v>
      </c>
      <c r="M19" s="23" t="n">
        <v>1532</v>
      </c>
      <c r="N19" s="3" t="s">
        <v>4</v>
      </c>
      <c r="O19" s="23" t="n">
        <v>1532</v>
      </c>
      <c r="P19" s="1" t="s">
        <v>29</v>
      </c>
    </row>
    <row r="20" customFormat="false" ht="16.4" hidden="false" customHeight="false" outlineLevel="0" collapsed="false">
      <c r="A20" s="1" t="n">
        <v>6187</v>
      </c>
      <c r="B20" s="0" t="s">
        <v>433</v>
      </c>
      <c r="C20" s="0" t="s">
        <v>436</v>
      </c>
      <c r="D20" s="1" t="s">
        <v>53</v>
      </c>
      <c r="E20" s="0" t="s">
        <v>54</v>
      </c>
      <c r="F20" s="1" t="n">
        <v>0.76</v>
      </c>
      <c r="G20" s="1" t="n">
        <v>0.76</v>
      </c>
      <c r="H20" s="1" t="n">
        <f aca="false">-((G20*100/F20)-100)</f>
        <v>-0</v>
      </c>
      <c r="I20" s="33" t="n">
        <v>824</v>
      </c>
      <c r="J20" s="1" t="n">
        <f aca="false">(F20-G20)*I20</f>
        <v>0</v>
      </c>
      <c r="K20" s="1" t="n">
        <f aca="false">G20*I20</f>
        <v>626.24</v>
      </c>
      <c r="M20" s="23" t="n">
        <v>1532</v>
      </c>
      <c r="N20" s="3" t="s">
        <v>4</v>
      </c>
      <c r="O20" s="23" t="n">
        <v>1532</v>
      </c>
      <c r="P20" s="1" t="s">
        <v>26</v>
      </c>
    </row>
    <row r="21" customFormat="false" ht="16.4" hidden="false" customHeight="false" outlineLevel="0" collapsed="false">
      <c r="A21" s="1" t="n">
        <v>6187</v>
      </c>
      <c r="B21" s="0" t="s">
        <v>433</v>
      </c>
      <c r="C21" s="0" t="s">
        <v>62</v>
      </c>
      <c r="D21" s="1" t="s">
        <v>24</v>
      </c>
      <c r="E21" s="0" t="s">
        <v>437</v>
      </c>
      <c r="F21" s="1" t="n">
        <v>6.17</v>
      </c>
      <c r="G21" s="1" t="n">
        <v>6.17</v>
      </c>
      <c r="H21" s="1" t="n">
        <f aca="false">-((G21*100/F21)-100)</f>
        <v>-0</v>
      </c>
      <c r="I21" s="33" t="n">
        <v>220</v>
      </c>
      <c r="J21" s="1" t="n">
        <f aca="false">(F21-G21)*I21</f>
        <v>0</v>
      </c>
      <c r="K21" s="1" t="n">
        <f aca="false">G21*I21</f>
        <v>1357.4</v>
      </c>
      <c r="M21" s="23" t="n">
        <v>8445</v>
      </c>
      <c r="N21" s="3" t="s">
        <v>4</v>
      </c>
      <c r="O21" s="23" t="n">
        <v>8445</v>
      </c>
      <c r="P21" s="1" t="s">
        <v>29</v>
      </c>
    </row>
    <row r="22" customFormat="false" ht="16.4" hidden="false" customHeight="false" outlineLevel="0" collapsed="false">
      <c r="A22" s="1" t="n">
        <v>6187</v>
      </c>
      <c r="B22" s="0" t="s">
        <v>433</v>
      </c>
      <c r="C22" s="0" t="s">
        <v>438</v>
      </c>
      <c r="G22" s="1"/>
      <c r="H22" s="1" t="e">
        <f aca="false">-((G22*100/F22)-100)</f>
        <v>#DIV/0!</v>
      </c>
      <c r="I22" s="33" t="n">
        <v>0</v>
      </c>
      <c r="J22" s="1" t="n">
        <f aca="false">(F22-G22)*I22</f>
        <v>0</v>
      </c>
      <c r="K22" s="1" t="n">
        <f aca="false">G22*I22</f>
        <v>0</v>
      </c>
      <c r="M22" s="23" t="n">
        <v>789</v>
      </c>
      <c r="N22" s="3" t="s">
        <v>4</v>
      </c>
      <c r="O22" s="23" t="n">
        <v>789</v>
      </c>
      <c r="P22" s="1" t="s">
        <v>29</v>
      </c>
    </row>
    <row r="23" customFormat="false" ht="16.4" hidden="false" customHeight="false" outlineLevel="0" collapsed="false">
      <c r="A23" s="1" t="n">
        <v>6187</v>
      </c>
      <c r="B23" s="0" t="s">
        <v>433</v>
      </c>
      <c r="C23" s="0" t="s">
        <v>439</v>
      </c>
      <c r="E23" s="0" t="s">
        <v>46</v>
      </c>
      <c r="G23" s="1"/>
      <c r="H23" s="1" t="e">
        <f aca="false">-((G23*100/F23)-100)</f>
        <v>#DIV/0!</v>
      </c>
      <c r="I23" s="33" t="n">
        <v>0</v>
      </c>
      <c r="J23" s="1" t="n">
        <f aca="false">(F23-G23)*I23</f>
        <v>0</v>
      </c>
      <c r="K23" s="1" t="n">
        <f aca="false">G23*I23</f>
        <v>0</v>
      </c>
      <c r="M23" s="23" t="n">
        <v>212</v>
      </c>
      <c r="N23" s="3" t="s">
        <v>4</v>
      </c>
      <c r="O23" s="23" t="n">
        <v>212</v>
      </c>
      <c r="P23" s="1" t="s">
        <v>29</v>
      </c>
    </row>
    <row r="24" customFormat="false" ht="16.4" hidden="false" customHeight="false" outlineLevel="0" collapsed="false">
      <c r="A24" s="1" t="n">
        <v>6187</v>
      </c>
      <c r="B24" s="0" t="s">
        <v>433</v>
      </c>
      <c r="C24" s="0" t="s">
        <v>404</v>
      </c>
      <c r="E24" s="0" t="s">
        <v>46</v>
      </c>
      <c r="G24" s="1"/>
      <c r="H24" s="1" t="e">
        <f aca="false">-((G24*100/F24)-100)</f>
        <v>#DIV/0!</v>
      </c>
      <c r="I24" s="33" t="n">
        <v>0</v>
      </c>
      <c r="J24" s="1" t="n">
        <f aca="false">(F24-G24)*I24</f>
        <v>0</v>
      </c>
      <c r="K24" s="1" t="n">
        <f aca="false">G24*I24</f>
        <v>0</v>
      </c>
      <c r="M24" s="23" t="n">
        <v>439</v>
      </c>
      <c r="N24" s="3" t="s">
        <v>4</v>
      </c>
      <c r="O24" s="23" t="n">
        <v>439</v>
      </c>
      <c r="P24" s="1" t="s">
        <v>29</v>
      </c>
    </row>
    <row r="25" customFormat="false" ht="16.4" hidden="false" customHeight="false" outlineLevel="0" collapsed="false">
      <c r="A25" s="1" t="n">
        <v>0</v>
      </c>
      <c r="B25" s="0" t="s">
        <v>433</v>
      </c>
      <c r="C25" s="0" t="s">
        <v>440</v>
      </c>
      <c r="E25" s="0" t="s">
        <v>46</v>
      </c>
      <c r="G25" s="1"/>
      <c r="H25" s="1" t="e">
        <f aca="false">-((G25*100/F25)-100)</f>
        <v>#DIV/0!</v>
      </c>
      <c r="I25" s="33" t="n">
        <v>0</v>
      </c>
      <c r="J25" s="1" t="n">
        <f aca="false">(F25-G25)*I25</f>
        <v>0</v>
      </c>
      <c r="K25" s="1" t="n">
        <f aca="false">G25*I25</f>
        <v>0</v>
      </c>
      <c r="M25" s="23" t="n">
        <v>138</v>
      </c>
      <c r="N25" s="3" t="s">
        <v>4</v>
      </c>
      <c r="O25" s="23" t="n">
        <v>138</v>
      </c>
      <c r="P25" s="1" t="s">
        <v>29</v>
      </c>
    </row>
    <row r="26" customFormat="false" ht="16.4" hidden="false" customHeight="false" outlineLevel="0" collapsed="false">
      <c r="A26" s="1" t="n">
        <v>0</v>
      </c>
      <c r="B26" s="0" t="s">
        <v>433</v>
      </c>
      <c r="C26" s="0" t="s">
        <v>441</v>
      </c>
      <c r="D26" s="1"/>
      <c r="E26" s="0" t="s">
        <v>442</v>
      </c>
      <c r="F26" s="1" t="n">
        <v>0.57</v>
      </c>
      <c r="G26" s="1" t="n">
        <v>0.57</v>
      </c>
      <c r="H26" s="1" t="n">
        <f aca="false">-((G26*100/F26)-100)</f>
        <v>-0</v>
      </c>
      <c r="I26" s="33" t="n">
        <v>219</v>
      </c>
      <c r="J26" s="1" t="n">
        <f aca="false">(F26-G26)*I26</f>
        <v>0</v>
      </c>
      <c r="K26" s="1" t="n">
        <f aca="false">G26*I26</f>
        <v>124.83</v>
      </c>
      <c r="M26" s="23" t="n">
        <v>678</v>
      </c>
      <c r="N26" s="3" t="s">
        <v>4</v>
      </c>
      <c r="O26" s="23" t="n">
        <v>678</v>
      </c>
      <c r="P26" s="1" t="s">
        <v>26</v>
      </c>
    </row>
    <row r="27" customFormat="false" ht="16.4" hidden="false" customHeight="false" outlineLevel="0" collapsed="false">
      <c r="A27" s="1" t="n">
        <v>0</v>
      </c>
      <c r="B27" s="0" t="s">
        <v>433</v>
      </c>
      <c r="C27" s="0" t="s">
        <v>443</v>
      </c>
      <c r="D27" s="1"/>
      <c r="E27" s="0" t="s">
        <v>444</v>
      </c>
      <c r="F27" s="1" t="n">
        <v>0.46</v>
      </c>
      <c r="G27" s="1" t="n">
        <v>0.46</v>
      </c>
      <c r="H27" s="1" t="n">
        <f aca="false">-((G27*100/F27)-100)</f>
        <v>-0</v>
      </c>
      <c r="I27" s="33" t="n">
        <v>145</v>
      </c>
      <c r="J27" s="1" t="n">
        <f aca="false">(F27-G27)*I27</f>
        <v>0</v>
      </c>
      <c r="K27" s="1" t="n">
        <f aca="false">G27*I27</f>
        <v>66.7</v>
      </c>
      <c r="M27" s="23" t="n">
        <v>702</v>
      </c>
      <c r="N27" s="3" t="s">
        <v>4</v>
      </c>
      <c r="O27" s="23" t="n">
        <v>702</v>
      </c>
      <c r="P27" s="1" t="s">
        <v>29</v>
      </c>
    </row>
    <row r="28" customFormat="false" ht="16.4" hidden="false" customHeight="false" outlineLevel="0" collapsed="false">
      <c r="A28" s="1" t="n">
        <v>0</v>
      </c>
      <c r="B28" s="0" t="s">
        <v>433</v>
      </c>
      <c r="C28" s="0" t="s">
        <v>445</v>
      </c>
      <c r="D28" s="1"/>
      <c r="E28" s="0" t="s">
        <v>446</v>
      </c>
      <c r="F28" s="1" t="n">
        <v>0.28</v>
      </c>
      <c r="G28" s="1" t="n">
        <v>0.28</v>
      </c>
      <c r="H28" s="1" t="n">
        <f aca="false">-((G28*100/F28)-100)</f>
        <v>-0</v>
      </c>
      <c r="I28" s="33" t="n">
        <v>220</v>
      </c>
      <c r="J28" s="1" t="n">
        <f aca="false">(F28-G28)*I28</f>
        <v>0</v>
      </c>
      <c r="K28" s="1" t="n">
        <f aca="false">G28*I28</f>
        <v>61.6</v>
      </c>
      <c r="M28" s="23" t="n">
        <v>349</v>
      </c>
      <c r="N28" s="3" t="s">
        <v>4</v>
      </c>
      <c r="O28" s="23" t="n">
        <v>349</v>
      </c>
      <c r="P28" s="1" t="s">
        <v>31</v>
      </c>
    </row>
    <row r="29" customFormat="false" ht="15" hidden="false" customHeight="false" outlineLevel="0" collapsed="false">
      <c r="G29" s="1"/>
      <c r="J29" s="1" t="n">
        <f aca="false">(F29-G29)*I29</f>
        <v>0</v>
      </c>
      <c r="K29" s="1" t="n">
        <f aca="false">G29*I29</f>
        <v>0</v>
      </c>
    </row>
    <row r="30" customFormat="false" ht="16.4" hidden="false" customHeight="false" outlineLevel="0" collapsed="false">
      <c r="A30" s="1" t="n">
        <v>6188</v>
      </c>
      <c r="B30" s="0" t="s">
        <v>447</v>
      </c>
      <c r="C30" s="0" t="s">
        <v>130</v>
      </c>
      <c r="D30" s="1" t="s">
        <v>53</v>
      </c>
      <c r="E30" s="0" t="s">
        <v>68</v>
      </c>
      <c r="F30" s="1" t="n">
        <v>7.98</v>
      </c>
      <c r="G30" s="1" t="n">
        <v>7.98</v>
      </c>
      <c r="H30" s="1" t="n">
        <f aca="false">-((G30*100/F30)-100)</f>
        <v>-0</v>
      </c>
      <c r="I30" s="33" t="n">
        <v>582</v>
      </c>
      <c r="J30" s="1" t="n">
        <f aca="false">(F30-G30)*I30</f>
        <v>0</v>
      </c>
      <c r="K30" s="1" t="n">
        <f aca="false">G30*I30</f>
        <v>4644.36</v>
      </c>
      <c r="M30" s="23" t="n">
        <v>13670</v>
      </c>
      <c r="N30" s="3" t="s">
        <v>4</v>
      </c>
      <c r="O30" s="23" t="n">
        <v>13670</v>
      </c>
      <c r="P30" s="1" t="s">
        <v>29</v>
      </c>
    </row>
    <row r="31" customFormat="false" ht="16.4" hidden="false" customHeight="false" outlineLevel="0" collapsed="false">
      <c r="A31" s="1" t="n">
        <v>6188</v>
      </c>
      <c r="B31" s="0" t="s">
        <v>447</v>
      </c>
      <c r="C31" s="0" t="s">
        <v>70</v>
      </c>
      <c r="D31" s="1" t="s">
        <v>53</v>
      </c>
      <c r="E31" s="0" t="s">
        <v>68</v>
      </c>
      <c r="F31" s="1" t="n">
        <v>4.42</v>
      </c>
      <c r="G31" s="1" t="n">
        <v>4.42</v>
      </c>
      <c r="H31" s="1" t="n">
        <f aca="false">-((G31*100/F31)-100)</f>
        <v>-0</v>
      </c>
      <c r="I31" s="33" t="n">
        <v>582</v>
      </c>
      <c r="J31" s="1" t="n">
        <f aca="false">(F31-G31)*I31</f>
        <v>0</v>
      </c>
      <c r="K31" s="1" t="n">
        <f aca="false">G31*I31</f>
        <v>2572.44</v>
      </c>
      <c r="M31" s="23" t="n">
        <v>7577</v>
      </c>
      <c r="N31" s="3" t="s">
        <v>4</v>
      </c>
      <c r="O31" s="23" t="n">
        <v>7577</v>
      </c>
      <c r="P31" s="1" t="s">
        <v>29</v>
      </c>
    </row>
    <row r="32" customFormat="false" ht="16.4" hidden="false" customHeight="false" outlineLevel="0" collapsed="false">
      <c r="A32" s="1" t="n">
        <v>6188</v>
      </c>
      <c r="B32" s="0" t="s">
        <v>447</v>
      </c>
      <c r="C32" s="0" t="s">
        <v>150</v>
      </c>
      <c r="D32" s="1" t="s">
        <v>53</v>
      </c>
      <c r="E32" s="0" t="s">
        <v>68</v>
      </c>
      <c r="F32" s="1" t="n">
        <v>6.06</v>
      </c>
      <c r="G32" s="1" t="n">
        <v>6.06</v>
      </c>
      <c r="H32" s="1" t="n">
        <f aca="false">-((G32*100/F32)-100)</f>
        <v>-0</v>
      </c>
      <c r="I32" s="33" t="n">
        <v>582</v>
      </c>
      <c r="J32" s="1" t="n">
        <f aca="false">(F32-G32)*I32</f>
        <v>0</v>
      </c>
      <c r="K32" s="1" t="n">
        <f aca="false">G32*I32</f>
        <v>3526.92</v>
      </c>
      <c r="M32" s="23" t="n">
        <v>10389</v>
      </c>
      <c r="N32" s="3" t="s">
        <v>4</v>
      </c>
      <c r="O32" s="23" t="n">
        <v>10389</v>
      </c>
      <c r="P32" s="1" t="s">
        <v>29</v>
      </c>
    </row>
    <row r="33" customFormat="false" ht="16.4" hidden="false" customHeight="false" outlineLevel="0" collapsed="false">
      <c r="A33" s="1" t="n">
        <v>6188</v>
      </c>
      <c r="B33" s="0" t="s">
        <v>447</v>
      </c>
      <c r="C33" s="0" t="s">
        <v>51</v>
      </c>
      <c r="D33" s="1" t="s">
        <v>53</v>
      </c>
      <c r="E33" s="0" t="s">
        <v>448</v>
      </c>
      <c r="F33" s="1" t="n">
        <v>2.08</v>
      </c>
      <c r="G33" s="1" t="n">
        <v>2.08</v>
      </c>
      <c r="H33" s="1" t="n">
        <f aca="false">-((G33*100/F33)-100)</f>
        <v>-0</v>
      </c>
      <c r="I33" s="33" t="n">
        <v>420</v>
      </c>
      <c r="J33" s="1" t="n">
        <f aca="false">(F33-G33)*I33</f>
        <v>0</v>
      </c>
      <c r="K33" s="1" t="n">
        <f aca="false">G33*I33</f>
        <v>873.6</v>
      </c>
      <c r="M33" s="23" t="n">
        <v>3766</v>
      </c>
      <c r="N33" s="3" t="s">
        <v>4</v>
      </c>
      <c r="O33" s="23" t="n">
        <v>3766</v>
      </c>
      <c r="P33" s="1" t="s">
        <v>29</v>
      </c>
    </row>
    <row r="34" customFormat="false" ht="15" hidden="false" customHeight="false" outlineLevel="0" collapsed="false">
      <c r="A34" s="1"/>
      <c r="D34" s="1"/>
      <c r="F34" s="1"/>
      <c r="G34" s="1"/>
      <c r="H34" s="1"/>
      <c r="J34" s="1" t="n">
        <f aca="false">(F34-G34)*I34</f>
        <v>0</v>
      </c>
      <c r="K34" s="1" t="n">
        <f aca="false">G34*I34</f>
        <v>0</v>
      </c>
      <c r="M34" s="23"/>
      <c r="N34" s="3"/>
      <c r="O34" s="23"/>
    </row>
    <row r="35" customFormat="false" ht="16.4" hidden="false" customHeight="false" outlineLevel="0" collapsed="false">
      <c r="A35" s="1" t="n">
        <v>6226</v>
      </c>
      <c r="B35" s="0" t="s">
        <v>449</v>
      </c>
      <c r="C35" s="0" t="s">
        <v>97</v>
      </c>
      <c r="D35" s="1" t="s">
        <v>53</v>
      </c>
      <c r="E35" s="0" t="s">
        <v>68</v>
      </c>
      <c r="F35" s="1" t="n">
        <v>0.49</v>
      </c>
      <c r="G35" s="1" t="n">
        <v>0.49</v>
      </c>
      <c r="H35" s="1" t="n">
        <f aca="false">-((G35*100/F35)-100)</f>
        <v>-0</v>
      </c>
      <c r="I35" s="33" t="n">
        <v>582</v>
      </c>
      <c r="J35" s="1" t="n">
        <f aca="false">(F35-G35)*I35</f>
        <v>0</v>
      </c>
      <c r="K35" s="1" t="n">
        <f aca="false">G35*I35</f>
        <v>285.18</v>
      </c>
      <c r="M35" s="23" t="n">
        <v>918</v>
      </c>
      <c r="N35" s="3" t="s">
        <v>4</v>
      </c>
      <c r="O35" s="23" t="n">
        <v>918</v>
      </c>
      <c r="P35" s="1" t="s">
        <v>26</v>
      </c>
    </row>
    <row r="36" customFormat="false" ht="16.4" hidden="false" customHeight="false" outlineLevel="0" collapsed="false">
      <c r="A36" s="1" t="n">
        <v>6226</v>
      </c>
      <c r="B36" s="0" t="s">
        <v>449</v>
      </c>
      <c r="C36" s="0" t="s">
        <v>98</v>
      </c>
      <c r="D36" s="1" t="s">
        <v>53</v>
      </c>
      <c r="E36" s="0" t="s">
        <v>68</v>
      </c>
      <c r="F36" s="1" t="n">
        <v>0.4</v>
      </c>
      <c r="G36" s="1" t="n">
        <v>0.4</v>
      </c>
      <c r="H36" s="1" t="n">
        <f aca="false">-((G36*100/F36)-100)</f>
        <v>-0</v>
      </c>
      <c r="I36" s="33" t="n">
        <v>582</v>
      </c>
      <c r="J36" s="1" t="n">
        <f aca="false">(F36-G36)*I36</f>
        <v>0</v>
      </c>
      <c r="K36" s="1" t="n">
        <f aca="false">G36*I36</f>
        <v>232.8</v>
      </c>
      <c r="M36" s="23" t="n">
        <v>772</v>
      </c>
      <c r="N36" s="3" t="s">
        <v>4</v>
      </c>
      <c r="O36" s="23" t="n">
        <v>772</v>
      </c>
      <c r="P36" s="1" t="s">
        <v>26</v>
      </c>
    </row>
    <row r="37" customFormat="false" ht="15" hidden="false" customHeight="false" outlineLevel="0" collapsed="false">
      <c r="A37" s="1"/>
      <c r="D37" s="1"/>
      <c r="F37" s="1"/>
      <c r="G37" s="1"/>
      <c r="H37" s="1"/>
      <c r="J37" s="1" t="n">
        <f aca="false">(F37-G37)*I37</f>
        <v>0</v>
      </c>
      <c r="K37" s="1" t="n">
        <f aca="false">G37*I37</f>
        <v>0</v>
      </c>
      <c r="M37" s="23"/>
      <c r="N37" s="3"/>
      <c r="O37" s="23"/>
    </row>
    <row r="38" customFormat="false" ht="16.4" hidden="false" customHeight="false" outlineLevel="0" collapsed="false">
      <c r="A38" s="1" t="n">
        <v>6219</v>
      </c>
      <c r="B38" s="0" t="s">
        <v>450</v>
      </c>
      <c r="C38" s="0" t="s">
        <v>42</v>
      </c>
      <c r="D38" s="1" t="s">
        <v>24</v>
      </c>
      <c r="E38" s="0" t="s">
        <v>380</v>
      </c>
      <c r="F38" s="1" t="n">
        <v>3.12</v>
      </c>
      <c r="G38" s="1" t="n">
        <v>3.12</v>
      </c>
      <c r="H38" s="1" t="n">
        <f aca="false">-((G38*100/F38)-100)</f>
        <v>-0</v>
      </c>
      <c r="I38" s="33" t="n">
        <v>309</v>
      </c>
      <c r="J38" s="1" t="n">
        <f aca="false">(F38-G38)*I38</f>
        <v>0</v>
      </c>
      <c r="K38" s="1" t="n">
        <f aca="false">G38*I38</f>
        <v>964.08</v>
      </c>
      <c r="M38" s="23" t="n">
        <v>4629</v>
      </c>
      <c r="N38" s="3" t="s">
        <v>4</v>
      </c>
      <c r="O38" s="23" t="n">
        <v>4629</v>
      </c>
      <c r="P38" s="1" t="s">
        <v>26</v>
      </c>
    </row>
    <row r="39" customFormat="false" ht="16.4" hidden="false" customHeight="false" outlineLevel="0" collapsed="false">
      <c r="A39" s="1" t="n">
        <v>6219</v>
      </c>
      <c r="B39" s="0" t="s">
        <v>450</v>
      </c>
      <c r="C39" s="0" t="s">
        <v>130</v>
      </c>
      <c r="D39" s="1" t="s">
        <v>24</v>
      </c>
      <c r="E39" s="0" t="s">
        <v>380</v>
      </c>
      <c r="F39" s="1" t="n">
        <v>7.76</v>
      </c>
      <c r="G39" s="1" t="n">
        <v>7.76</v>
      </c>
      <c r="H39" s="1" t="n">
        <f aca="false">-((G39*100/F39)-100)</f>
        <v>-0</v>
      </c>
      <c r="I39" s="33" t="n">
        <v>309</v>
      </c>
      <c r="J39" s="1" t="n">
        <f aca="false">(F39-G39)*I39</f>
        <v>0</v>
      </c>
      <c r="K39" s="1" t="n">
        <f aca="false">G39*I39</f>
        <v>2397.84</v>
      </c>
      <c r="M39" s="23" t="n">
        <v>11513</v>
      </c>
      <c r="N39" s="3" t="s">
        <v>4</v>
      </c>
      <c r="O39" s="23" t="n">
        <v>11513</v>
      </c>
      <c r="P39" s="1" t="s">
        <v>26</v>
      </c>
    </row>
    <row r="40" customFormat="false" ht="16.4" hidden="false" customHeight="false" outlineLevel="0" collapsed="false">
      <c r="A40" s="1" t="n">
        <v>6219</v>
      </c>
      <c r="B40" s="0" t="s">
        <v>450</v>
      </c>
      <c r="C40" s="0" t="s">
        <v>62</v>
      </c>
      <c r="D40" s="1" t="s">
        <v>24</v>
      </c>
      <c r="E40" s="0" t="s">
        <v>380</v>
      </c>
      <c r="F40" s="1" t="n">
        <v>1.79</v>
      </c>
      <c r="G40" s="1" t="n">
        <v>1.79</v>
      </c>
      <c r="H40" s="1" t="n">
        <f aca="false">-((G40*100/F40)-100)</f>
        <v>-0</v>
      </c>
      <c r="I40" s="33" t="n">
        <v>309</v>
      </c>
      <c r="J40" s="1" t="n">
        <f aca="false">(F40-G40)*I40</f>
        <v>0</v>
      </c>
      <c r="K40" s="1" t="n">
        <f aca="false">G40*I40</f>
        <v>553.11</v>
      </c>
      <c r="M40" s="23" t="n">
        <v>2655</v>
      </c>
      <c r="N40" s="3" t="s">
        <v>4</v>
      </c>
      <c r="O40" s="23" t="n">
        <v>2655</v>
      </c>
      <c r="P40" s="1" t="s">
        <v>26</v>
      </c>
    </row>
    <row r="41" customFormat="false" ht="16.4" hidden="false" customHeight="false" outlineLevel="0" collapsed="false">
      <c r="A41" s="1" t="n">
        <v>6219</v>
      </c>
      <c r="B41" s="0" t="s">
        <v>450</v>
      </c>
      <c r="C41" s="0" t="s">
        <v>189</v>
      </c>
      <c r="D41" s="1" t="s">
        <v>24</v>
      </c>
      <c r="E41" s="0" t="s">
        <v>380</v>
      </c>
      <c r="F41" s="1" t="n">
        <v>0.61</v>
      </c>
      <c r="G41" s="1" t="n">
        <v>0.61</v>
      </c>
      <c r="H41" s="1" t="n">
        <f aca="false">-((G41*100/F41)-100)</f>
        <v>-0</v>
      </c>
      <c r="I41" s="33" t="n">
        <v>309</v>
      </c>
      <c r="J41" s="1" t="n">
        <f aca="false">(F41-G41)*I41</f>
        <v>0</v>
      </c>
      <c r="K41" s="1" t="n">
        <f aca="false">G41*I41</f>
        <v>188.49</v>
      </c>
      <c r="M41" s="23" t="n">
        <v>905</v>
      </c>
      <c r="N41" s="3" t="s">
        <v>4</v>
      </c>
      <c r="O41" s="23" t="n">
        <v>905</v>
      </c>
      <c r="P41" s="1" t="s">
        <v>26</v>
      </c>
    </row>
    <row r="42" customFormat="false" ht="16.4" hidden="false" customHeight="false" outlineLevel="0" collapsed="false">
      <c r="A42" s="1" t="n">
        <v>6219</v>
      </c>
      <c r="B42" s="0" t="s">
        <v>450</v>
      </c>
      <c r="C42" s="0" t="s">
        <v>189</v>
      </c>
      <c r="D42" s="1" t="s">
        <v>24</v>
      </c>
      <c r="E42" s="0" t="s">
        <v>380</v>
      </c>
      <c r="F42" s="1" t="n">
        <v>0.64</v>
      </c>
      <c r="G42" s="1" t="n">
        <v>0.64</v>
      </c>
      <c r="H42" s="1" t="n">
        <f aca="false">-((G42*100/F42)-100)</f>
        <v>-0</v>
      </c>
      <c r="I42" s="33" t="n">
        <v>309</v>
      </c>
      <c r="J42" s="1" t="n">
        <f aca="false">(F42-G42)*I42</f>
        <v>0</v>
      </c>
      <c r="K42" s="1" t="n">
        <f aca="false">G42*I42</f>
        <v>197.76</v>
      </c>
      <c r="M42" s="23" t="n">
        <v>949</v>
      </c>
      <c r="N42" s="3" t="s">
        <v>4</v>
      </c>
      <c r="O42" s="23" t="n">
        <v>949</v>
      </c>
      <c r="P42" s="1" t="s">
        <v>26</v>
      </c>
    </row>
    <row r="43" customFormat="false" ht="16.4" hidden="false" customHeight="false" outlineLevel="0" collapsed="false">
      <c r="A43" s="1" t="n">
        <v>6219</v>
      </c>
      <c r="B43" s="0" t="s">
        <v>450</v>
      </c>
      <c r="C43" s="0" t="s">
        <v>451</v>
      </c>
      <c r="H43" s="1" t="e">
        <f aca="false">-((G43*100/F43)-100)</f>
        <v>#DIV/0!</v>
      </c>
      <c r="J43" s="1" t="n">
        <f aca="false">(F43-G43)*I43</f>
        <v>0</v>
      </c>
      <c r="K43" s="1" t="n">
        <f aca="false">G43*I43</f>
        <v>0</v>
      </c>
      <c r="M43" s="23" t="n">
        <v>1470</v>
      </c>
      <c r="N43" s="3" t="s">
        <v>4</v>
      </c>
      <c r="O43" s="23" t="n">
        <v>1470</v>
      </c>
    </row>
    <row r="44" customFormat="false" ht="15" hidden="false" customHeight="false" outlineLevel="0" collapsed="false">
      <c r="A44" s="1"/>
      <c r="H44" s="1"/>
      <c r="J44" s="1" t="n">
        <f aca="false">(F44-G44)*I44</f>
        <v>0</v>
      </c>
      <c r="K44" s="1" t="n">
        <f aca="false">G44*I44</f>
        <v>0</v>
      </c>
      <c r="M44" s="23"/>
      <c r="N44" s="12"/>
      <c r="O44" s="23"/>
    </row>
    <row r="45" customFormat="false" ht="16.4" hidden="false" customHeight="false" outlineLevel="0" collapsed="false">
      <c r="A45" s="1" t="n">
        <v>6226</v>
      </c>
      <c r="B45" s="0" t="s">
        <v>452</v>
      </c>
      <c r="C45" s="0" t="s">
        <v>34</v>
      </c>
      <c r="D45" s="1" t="s">
        <v>24</v>
      </c>
      <c r="E45" s="0" t="s">
        <v>28</v>
      </c>
      <c r="F45" s="1" t="n">
        <v>1.41</v>
      </c>
      <c r="G45" s="1" t="n">
        <v>1.41</v>
      </c>
      <c r="H45" s="1" t="n">
        <f aca="false">-((G45*100/F45)-100)</f>
        <v>-0</v>
      </c>
      <c r="I45" s="33" t="n">
        <v>228</v>
      </c>
      <c r="J45" s="1" t="n">
        <f aca="false">(F45-G45)*I45</f>
        <v>0</v>
      </c>
      <c r="K45" s="1" t="n">
        <f aca="false">G45*I45</f>
        <v>321.48</v>
      </c>
      <c r="M45" s="23" t="n">
        <v>970</v>
      </c>
      <c r="N45" s="1" t="s">
        <v>4</v>
      </c>
      <c r="O45" s="23" t="n">
        <v>970</v>
      </c>
      <c r="P45" s="1" t="s">
        <v>26</v>
      </c>
    </row>
    <row r="46" customFormat="false" ht="15" hidden="false" customHeight="false" outlineLevel="0" collapsed="false">
      <c r="A46" s="1"/>
      <c r="H46" s="1"/>
      <c r="J46" s="1" t="n">
        <f aca="false">(F46-G46)*I46</f>
        <v>0</v>
      </c>
      <c r="K46" s="1" t="n">
        <f aca="false">G46*I46</f>
        <v>0</v>
      </c>
      <c r="M46" s="23"/>
      <c r="N46" s="12"/>
      <c r="O46" s="23"/>
    </row>
    <row r="47" customFormat="false" ht="15" hidden="false" customHeight="false" outlineLevel="0" collapsed="false">
      <c r="A47" s="1"/>
      <c r="H47" s="1"/>
      <c r="J47" s="1" t="n">
        <f aca="false">(F47-G47)*I47</f>
        <v>0</v>
      </c>
      <c r="K47" s="1" t="n">
        <f aca="false">G47*I47</f>
        <v>0</v>
      </c>
      <c r="M47" s="23"/>
      <c r="N47" s="1"/>
      <c r="O47" s="23"/>
    </row>
    <row r="48" customFormat="false" ht="16.4" hidden="false" customHeight="false" outlineLevel="0" collapsed="false">
      <c r="A48" s="1" t="n">
        <v>6222</v>
      </c>
      <c r="B48" s="0" t="s">
        <v>453</v>
      </c>
      <c r="C48" s="0" t="s">
        <v>55</v>
      </c>
      <c r="D48" s="1" t="s">
        <v>53</v>
      </c>
      <c r="E48" s="0" t="s">
        <v>68</v>
      </c>
      <c r="F48" s="1" t="n">
        <v>7.08</v>
      </c>
      <c r="G48" s="1" t="n">
        <v>7.08</v>
      </c>
      <c r="H48" s="1" t="n">
        <f aca="false">-((G48*100/F48)-100)</f>
        <v>-0</v>
      </c>
      <c r="I48" s="33" t="n">
        <v>582</v>
      </c>
      <c r="J48" s="1" t="n">
        <f aca="false">(F48-G48)*I48</f>
        <v>0</v>
      </c>
      <c r="K48" s="1" t="n">
        <f aca="false">G48*I48</f>
        <v>4120.56</v>
      </c>
      <c r="M48" s="23" t="n">
        <v>15115</v>
      </c>
      <c r="N48" s="3" t="s">
        <v>4</v>
      </c>
      <c r="O48" s="23" t="n">
        <v>15115</v>
      </c>
      <c r="P48" s="1" t="s">
        <v>29</v>
      </c>
    </row>
    <row r="49" customFormat="false" ht="16.4" hidden="false" customHeight="false" outlineLevel="0" collapsed="false">
      <c r="A49" s="1" t="n">
        <v>6222</v>
      </c>
      <c r="B49" s="0" t="s">
        <v>453</v>
      </c>
      <c r="C49" s="0" t="s">
        <v>56</v>
      </c>
      <c r="D49" s="1" t="s">
        <v>37</v>
      </c>
      <c r="E49" s="0" t="s">
        <v>38</v>
      </c>
      <c r="F49" s="1" t="n">
        <v>0.81</v>
      </c>
      <c r="G49" s="1" t="n">
        <v>0.81</v>
      </c>
      <c r="H49" s="1" t="n">
        <f aca="false">-((G49*100/F49)-100)</f>
        <v>-0</v>
      </c>
      <c r="I49" s="33" t="n">
        <v>450</v>
      </c>
      <c r="J49" s="1" t="n">
        <f aca="false">(F49-G49)*I49</f>
        <v>0</v>
      </c>
      <c r="K49" s="1" t="n">
        <f aca="false">G49*I49</f>
        <v>364.5</v>
      </c>
      <c r="M49" s="23" t="n">
        <v>1286</v>
      </c>
      <c r="N49" s="3" t="s">
        <v>4</v>
      </c>
      <c r="O49" s="23" t="n">
        <v>1286</v>
      </c>
      <c r="P49" s="1" t="s">
        <v>29</v>
      </c>
    </row>
    <row r="50" customFormat="false" ht="16.4" hidden="false" customHeight="false" outlineLevel="0" collapsed="false">
      <c r="A50" s="1" t="n">
        <v>6222</v>
      </c>
      <c r="B50" s="0" t="s">
        <v>453</v>
      </c>
      <c r="C50" s="0" t="s">
        <v>57</v>
      </c>
      <c r="D50" s="1" t="s">
        <v>37</v>
      </c>
      <c r="E50" s="0" t="s">
        <v>38</v>
      </c>
      <c r="F50" s="1" t="n">
        <v>0.52</v>
      </c>
      <c r="G50" s="1" t="n">
        <v>0.52</v>
      </c>
      <c r="H50" s="1" t="n">
        <f aca="false">-((G50*100/F50)-100)</f>
        <v>-0</v>
      </c>
      <c r="I50" s="33" t="n">
        <v>450</v>
      </c>
      <c r="J50" s="1" t="n">
        <f aca="false">(F50-G50)*I50</f>
        <v>0</v>
      </c>
      <c r="K50" s="1" t="n">
        <f aca="false">G50*I50</f>
        <v>234</v>
      </c>
      <c r="M50" s="23" t="n">
        <v>826</v>
      </c>
      <c r="N50" s="3" t="s">
        <v>4</v>
      </c>
      <c r="O50" s="23" t="n">
        <v>826</v>
      </c>
      <c r="P50" s="1" t="s">
        <v>29</v>
      </c>
    </row>
    <row r="51" customFormat="false" ht="16.4" hidden="false" customHeight="false" outlineLevel="0" collapsed="false">
      <c r="A51" s="1" t="n">
        <v>6222</v>
      </c>
      <c r="B51" s="0" t="s">
        <v>453</v>
      </c>
      <c r="C51" s="0" t="s">
        <v>58</v>
      </c>
      <c r="D51" s="1" t="s">
        <v>37</v>
      </c>
      <c r="E51" s="0" t="s">
        <v>38</v>
      </c>
      <c r="F51" s="1" t="n">
        <v>0.82</v>
      </c>
      <c r="G51" s="1" t="n">
        <v>0.82</v>
      </c>
      <c r="H51" s="1" t="n">
        <f aca="false">-((G51*100/F51)-100)</f>
        <v>-0</v>
      </c>
      <c r="I51" s="33" t="n">
        <v>450</v>
      </c>
      <c r="J51" s="1" t="n">
        <f aca="false">(F51-G51)*I51</f>
        <v>0</v>
      </c>
      <c r="K51" s="1" t="n">
        <f aca="false">G51*I51</f>
        <v>369</v>
      </c>
      <c r="M51" s="23" t="n">
        <v>1302</v>
      </c>
      <c r="N51" s="3" t="s">
        <v>4</v>
      </c>
      <c r="O51" s="23" t="n">
        <v>1302</v>
      </c>
      <c r="P51" s="1" t="s">
        <v>29</v>
      </c>
    </row>
    <row r="52" customFormat="false" ht="16.4" hidden="false" customHeight="false" outlineLevel="0" collapsed="false">
      <c r="A52" s="1" t="n">
        <v>6222</v>
      </c>
      <c r="B52" s="0" t="s">
        <v>453</v>
      </c>
      <c r="C52" s="0" t="s">
        <v>57</v>
      </c>
      <c r="D52" s="1" t="s">
        <v>37</v>
      </c>
      <c r="E52" s="0" t="s">
        <v>38</v>
      </c>
      <c r="F52" s="1" t="n">
        <v>0.56</v>
      </c>
      <c r="G52" s="1" t="n">
        <v>0.56</v>
      </c>
      <c r="H52" s="1" t="n">
        <f aca="false">-((G52*100/F52)-100)</f>
        <v>-0</v>
      </c>
      <c r="I52" s="33" t="n">
        <v>450</v>
      </c>
      <c r="J52" s="1" t="n">
        <f aca="false">(F52-G52)*I52</f>
        <v>0</v>
      </c>
      <c r="K52" s="1" t="n">
        <f aca="false">G52*I52</f>
        <v>252</v>
      </c>
      <c r="M52" s="23" t="n">
        <v>889</v>
      </c>
      <c r="N52" s="3" t="s">
        <v>4</v>
      </c>
      <c r="O52" s="23" t="n">
        <v>889</v>
      </c>
      <c r="P52" s="1" t="s">
        <v>29</v>
      </c>
    </row>
    <row r="53" customFormat="false" ht="15" hidden="false" customHeight="false" outlineLevel="0" collapsed="false">
      <c r="J53" s="1" t="n">
        <f aca="false">(F53-G53)*I53</f>
        <v>0</v>
      </c>
      <c r="K53" s="1" t="n">
        <f aca="false">G53*I53</f>
        <v>0</v>
      </c>
    </row>
    <row r="54" customFormat="false" ht="16.4" hidden="false" customHeight="false" outlineLevel="0" collapsed="false">
      <c r="A54" s="1" t="n">
        <v>6209</v>
      </c>
      <c r="B54" s="0" t="s">
        <v>415</v>
      </c>
      <c r="C54" s="0" t="s">
        <v>62</v>
      </c>
      <c r="D54" s="1" t="s">
        <v>24</v>
      </c>
      <c r="E54" s="0" t="s">
        <v>454</v>
      </c>
      <c r="F54" s="1" t="n">
        <v>4.01</v>
      </c>
      <c r="G54" s="1" t="n">
        <v>4.01</v>
      </c>
      <c r="H54" s="1" t="n">
        <f aca="false">-((G54*100/F54)-100)</f>
        <v>-0</v>
      </c>
      <c r="I54" s="33" t="n">
        <v>228</v>
      </c>
      <c r="J54" s="1" t="n">
        <f aca="false">(F54-G54)*I54</f>
        <v>0</v>
      </c>
      <c r="K54" s="1" t="n">
        <f aca="false">G54*I54</f>
        <v>914.28</v>
      </c>
      <c r="M54" s="23" t="n">
        <v>4858</v>
      </c>
      <c r="N54" s="3" t="s">
        <v>4</v>
      </c>
      <c r="O54" s="23" t="n">
        <v>4858</v>
      </c>
      <c r="P54" s="1" t="s">
        <v>26</v>
      </c>
    </row>
    <row r="55" customFormat="false" ht="15" hidden="false" customHeight="false" outlineLevel="0" collapsed="false">
      <c r="A55" s="1"/>
      <c r="H55" s="1"/>
      <c r="J55" s="1" t="n">
        <f aca="false">(F55-G55)*I55</f>
        <v>0</v>
      </c>
      <c r="K55" s="1" t="n">
        <f aca="false">G55*I55</f>
        <v>0</v>
      </c>
      <c r="M55" s="23"/>
      <c r="N55" s="3"/>
      <c r="O55" s="23"/>
    </row>
    <row r="56" customFormat="false" ht="16.4" hidden="false" customHeight="false" outlineLevel="0" collapsed="false">
      <c r="A56" s="1" t="n">
        <v>6184</v>
      </c>
      <c r="B56" s="0" t="s">
        <v>455</v>
      </c>
      <c r="C56" s="0" t="s">
        <v>70</v>
      </c>
      <c r="D56" s="1" t="s">
        <v>53</v>
      </c>
      <c r="E56" s="0" t="s">
        <v>456</v>
      </c>
      <c r="F56" s="1" t="n">
        <v>3.61</v>
      </c>
      <c r="G56" s="1" t="n">
        <v>3.61</v>
      </c>
      <c r="H56" s="1" t="n">
        <f aca="false">-((G56*100/F56)-100)</f>
        <v>-0</v>
      </c>
      <c r="I56" s="33" t="n">
        <v>778</v>
      </c>
      <c r="J56" s="1" t="n">
        <f aca="false">(F56-G56)*I56</f>
        <v>0</v>
      </c>
      <c r="K56" s="1" t="n">
        <f aca="false">G56*I56</f>
        <v>2808.58</v>
      </c>
      <c r="M56" s="23" t="n">
        <v>7973</v>
      </c>
      <c r="N56" s="3" t="s">
        <v>4</v>
      </c>
      <c r="O56" s="23" t="n">
        <v>7973</v>
      </c>
      <c r="P56" s="1" t="s">
        <v>29</v>
      </c>
    </row>
    <row r="57" customFormat="false" ht="16.4" hidden="false" customHeight="false" outlineLevel="0" collapsed="false">
      <c r="A57" s="1" t="n">
        <v>0</v>
      </c>
      <c r="B57" s="0" t="s">
        <v>455</v>
      </c>
      <c r="C57" s="0" t="s">
        <v>457</v>
      </c>
      <c r="D57" s="1" t="s">
        <v>24</v>
      </c>
      <c r="E57" s="0" t="s">
        <v>458</v>
      </c>
      <c r="F57" s="1" t="n">
        <v>0.29</v>
      </c>
      <c r="G57" s="1" t="n">
        <v>0.29</v>
      </c>
      <c r="H57" s="1"/>
      <c r="I57" s="33" t="n">
        <v>164</v>
      </c>
      <c r="J57" s="1" t="n">
        <f aca="false">(F57-G57)*I57</f>
        <v>0</v>
      </c>
      <c r="K57" s="1" t="n">
        <f aca="false">G57*I57</f>
        <v>47.56</v>
      </c>
      <c r="M57" s="23" t="n">
        <v>214</v>
      </c>
      <c r="N57" s="3" t="s">
        <v>4</v>
      </c>
      <c r="O57" s="23" t="n">
        <v>214</v>
      </c>
      <c r="P57" s="1" t="s">
        <v>31</v>
      </c>
    </row>
    <row r="58" customFormat="false" ht="15" hidden="false" customHeight="false" outlineLevel="0" collapsed="false">
      <c r="A58" s="1"/>
      <c r="H58" s="1"/>
      <c r="J58" s="1" t="n">
        <f aca="false">(F58-G58)*I58</f>
        <v>0</v>
      </c>
      <c r="K58" s="1" t="n">
        <f aca="false">G58*I58</f>
        <v>0</v>
      </c>
      <c r="M58" s="23"/>
      <c r="N58" s="3"/>
      <c r="O58" s="23"/>
    </row>
    <row r="59" customFormat="false" ht="16.4" hidden="false" customHeight="false" outlineLevel="0" collapsed="false">
      <c r="A59" s="1" t="n">
        <v>6217</v>
      </c>
      <c r="B59" s="0" t="s">
        <v>459</v>
      </c>
      <c r="C59" s="0" t="s">
        <v>299</v>
      </c>
      <c r="D59" s="1" t="s">
        <v>24</v>
      </c>
      <c r="E59" s="0" t="s">
        <v>243</v>
      </c>
      <c r="F59" s="1" t="n">
        <v>16.32</v>
      </c>
      <c r="G59" s="1" t="n">
        <v>16.32</v>
      </c>
      <c r="H59" s="1" t="n">
        <f aca="false">-((G59*100/F59)-100)</f>
        <v>-0</v>
      </c>
      <c r="I59" s="33" t="n">
        <v>280</v>
      </c>
      <c r="J59" s="1" t="n">
        <f aca="false">(F59-G59)*I59</f>
        <v>0</v>
      </c>
      <c r="K59" s="1" t="n">
        <f aca="false">G59*I59</f>
        <v>4569.6</v>
      </c>
      <c r="M59" s="23" t="n">
        <v>21679</v>
      </c>
      <c r="N59" s="3" t="s">
        <v>4</v>
      </c>
      <c r="O59" s="23" t="n">
        <v>21679</v>
      </c>
      <c r="P59" s="1" t="s">
        <v>26</v>
      </c>
    </row>
    <row r="60" customFormat="false" ht="16.4" hidden="false" customHeight="false" outlineLevel="0" collapsed="false">
      <c r="A60" s="1" t="n">
        <v>6217</v>
      </c>
      <c r="B60" s="0" t="s">
        <v>459</v>
      </c>
      <c r="C60" s="0" t="s">
        <v>460</v>
      </c>
      <c r="G60" s="1"/>
      <c r="H60" s="1" t="e">
        <f aca="false">-((G60*100/F60)-100)</f>
        <v>#DIV/0!</v>
      </c>
      <c r="J60" s="1" t="n">
        <f aca="false">(F60-G60)*I60</f>
        <v>0</v>
      </c>
      <c r="K60" s="1" t="n">
        <f aca="false">G60*I60</f>
        <v>0</v>
      </c>
      <c r="M60" s="23" t="n">
        <v>1344</v>
      </c>
      <c r="N60" s="3" t="s">
        <v>4</v>
      </c>
      <c r="O60" s="23" t="n">
        <v>1344</v>
      </c>
      <c r="P60" s="1" t="s">
        <v>26</v>
      </c>
      <c r="R60" s="0" t="s">
        <v>461</v>
      </c>
    </row>
    <row r="61" customFormat="false" ht="15" hidden="false" customHeight="false" outlineLevel="0" collapsed="false">
      <c r="A61" s="1"/>
      <c r="H61" s="1"/>
      <c r="J61" s="1" t="n">
        <f aca="false">(F61-G61)*I61</f>
        <v>0</v>
      </c>
      <c r="K61" s="1" t="n">
        <f aca="false">G61*I61</f>
        <v>0</v>
      </c>
      <c r="M61" s="23"/>
      <c r="N61" s="3"/>
      <c r="O61" s="23"/>
    </row>
    <row r="62" customFormat="false" ht="16.4" hidden="false" customHeight="false" outlineLevel="0" collapsed="false">
      <c r="A62" s="1" t="n">
        <v>6216</v>
      </c>
      <c r="B62" s="0" t="s">
        <v>462</v>
      </c>
      <c r="C62" s="0" t="s">
        <v>42</v>
      </c>
      <c r="D62" s="1" t="s">
        <v>24</v>
      </c>
      <c r="E62" s="0" t="s">
        <v>35</v>
      </c>
      <c r="F62" s="1" t="n">
        <v>1.58</v>
      </c>
      <c r="G62" s="1" t="n">
        <v>1.58</v>
      </c>
      <c r="H62" s="1" t="n">
        <f aca="false">-((G62*100/F62)-100)</f>
        <v>-0</v>
      </c>
      <c r="I62" s="33" t="n">
        <v>284</v>
      </c>
      <c r="J62" s="1" t="n">
        <f aca="false">(F62-G62)*I62</f>
        <v>0</v>
      </c>
      <c r="K62" s="1" t="n">
        <f aca="false">G62*I62</f>
        <v>448.72</v>
      </c>
      <c r="M62" s="23" t="n">
        <v>1898</v>
      </c>
      <c r="N62" s="3" t="s">
        <v>4</v>
      </c>
      <c r="O62" s="23" t="n">
        <v>1898</v>
      </c>
      <c r="P62" s="1" t="s">
        <v>26</v>
      </c>
    </row>
    <row r="63" customFormat="false" ht="15" hidden="false" customHeight="false" outlineLevel="0" collapsed="false">
      <c r="A63" s="1"/>
      <c r="D63" s="1"/>
      <c r="F63" s="1"/>
      <c r="G63" s="1"/>
      <c r="H63" s="1"/>
      <c r="J63" s="1" t="n">
        <f aca="false">(F63-G63)*I63</f>
        <v>0</v>
      </c>
      <c r="K63" s="1" t="n">
        <f aca="false">G63*I63</f>
        <v>0</v>
      </c>
      <c r="M63" s="23"/>
      <c r="N63" s="1"/>
      <c r="O63" s="23"/>
    </row>
    <row r="64" customFormat="false" ht="16.4" hidden="false" customHeight="false" outlineLevel="0" collapsed="false">
      <c r="A64" s="1" t="n">
        <v>6184</v>
      </c>
      <c r="B64" s="0" t="s">
        <v>455</v>
      </c>
      <c r="C64" s="0" t="s">
        <v>463</v>
      </c>
      <c r="D64" s="1" t="s">
        <v>37</v>
      </c>
      <c r="E64" s="0" t="s">
        <v>464</v>
      </c>
      <c r="F64" s="1" t="n">
        <v>6.37</v>
      </c>
      <c r="G64" s="1" t="n">
        <v>6.37</v>
      </c>
      <c r="H64" s="1" t="n">
        <f aca="false">-((G64*100/F64)-100)</f>
        <v>-0</v>
      </c>
      <c r="I64" s="33" t="n">
        <v>993</v>
      </c>
      <c r="J64" s="1" t="n">
        <f aca="false">(F64-G64)*I64</f>
        <v>0</v>
      </c>
      <c r="K64" s="1" t="n">
        <f aca="false">G64*I64</f>
        <v>6325.41</v>
      </c>
      <c r="M64" s="23" t="n">
        <v>20915</v>
      </c>
      <c r="N64" s="3" t="s">
        <v>4</v>
      </c>
      <c r="O64" s="23" t="n">
        <v>20915</v>
      </c>
      <c r="P64" s="1" t="s">
        <v>29</v>
      </c>
    </row>
    <row r="65" customFormat="false" ht="15" hidden="false" customHeight="false" outlineLevel="0" collapsed="false">
      <c r="A65" s="1"/>
      <c r="D65" s="1"/>
      <c r="F65" s="1"/>
      <c r="G65" s="1"/>
      <c r="H65" s="1"/>
      <c r="J65" s="1"/>
      <c r="K65" s="1"/>
      <c r="M65" s="23"/>
      <c r="N65" s="1"/>
      <c r="O65" s="23"/>
      <c r="P65" s="1" t="s">
        <v>465</v>
      </c>
    </row>
    <row r="66" customFormat="false" ht="15" hidden="false" customHeight="false" outlineLevel="0" collapsed="false">
      <c r="A66" s="1"/>
      <c r="D66" s="1"/>
      <c r="F66" s="1" t="n">
        <v>108.7</v>
      </c>
      <c r="G66" s="1" t="n">
        <v>108.51</v>
      </c>
      <c r="H66" s="1"/>
      <c r="J66" s="1" t="n">
        <v>38.76</v>
      </c>
      <c r="K66" s="1" t="n">
        <v>52939.86</v>
      </c>
      <c r="M66" s="23" t="n">
        <v>190826</v>
      </c>
      <c r="N66" s="1"/>
      <c r="O66" s="23"/>
    </row>
    <row r="67" customFormat="false" ht="15" hidden="false" customHeight="false" outlineLevel="0" collapsed="false">
      <c r="A67" s="1"/>
      <c r="D67" s="1"/>
      <c r="F67" s="1"/>
      <c r="G67" s="1"/>
      <c r="H67" s="1"/>
      <c r="J67" s="1"/>
      <c r="K67" s="1"/>
      <c r="M67" s="23"/>
      <c r="N67" s="1"/>
      <c r="O67" s="23"/>
    </row>
    <row r="68" customFormat="false" ht="15" hidden="false" customHeight="false" outlineLevel="0" collapsed="false">
      <c r="A68" s="1"/>
      <c r="D68" s="1"/>
      <c r="F68" s="1"/>
      <c r="G68" s="1"/>
      <c r="H68" s="1"/>
      <c r="J68" s="1"/>
      <c r="K68" s="1"/>
      <c r="M68" s="23"/>
      <c r="N68" s="1"/>
      <c r="O68" s="23"/>
    </row>
    <row r="69" customFormat="false" ht="15" hidden="false" customHeight="false" outlineLevel="0" collapsed="false">
      <c r="A69" s="1"/>
      <c r="D69" s="1"/>
      <c r="F69" s="1"/>
      <c r="G69" s="1"/>
      <c r="H69" s="1"/>
      <c r="J69" s="1"/>
      <c r="K69" s="1"/>
      <c r="M69" s="23"/>
      <c r="N69" s="1"/>
      <c r="O69" s="23"/>
    </row>
    <row r="70" customFormat="false" ht="15" hidden="false" customHeight="false" outlineLevel="0" collapsed="false">
      <c r="A70" s="1"/>
      <c r="D70" s="1"/>
      <c r="F70" s="1"/>
      <c r="G70" s="1"/>
      <c r="H70" s="1"/>
      <c r="J70" s="1"/>
      <c r="K70" s="1"/>
      <c r="M70" s="23"/>
      <c r="N70" s="1"/>
      <c r="O70" s="23"/>
    </row>
    <row r="71" customFormat="false" ht="15" hidden="false" customHeight="false" outlineLevel="0" collapsed="false">
      <c r="A71" s="1"/>
      <c r="D71" s="1"/>
      <c r="F71" s="1"/>
      <c r="G71" s="1"/>
      <c r="H71" s="1"/>
      <c r="J71" s="1"/>
      <c r="K71" s="1"/>
      <c r="M71" s="23"/>
      <c r="N71" s="1"/>
      <c r="O71" s="23"/>
    </row>
    <row r="72" customFormat="false" ht="15" hidden="false" customHeight="false" outlineLevel="0" collapsed="false">
      <c r="A72" s="1"/>
      <c r="D72" s="1"/>
      <c r="F72" s="1"/>
      <c r="G72" s="1"/>
      <c r="H72" s="1"/>
      <c r="J72" s="1"/>
      <c r="K72" s="1"/>
      <c r="M72" s="23"/>
      <c r="N72" s="1"/>
      <c r="O72" s="23"/>
    </row>
    <row r="73" customFormat="false" ht="15" hidden="false" customHeight="false" outlineLevel="0" collapsed="false">
      <c r="A73" s="1"/>
      <c r="D73" s="1"/>
      <c r="F73" s="1"/>
      <c r="G73" s="1"/>
      <c r="H73" s="1"/>
      <c r="J73" s="1"/>
      <c r="K73" s="1"/>
      <c r="M73" s="23"/>
      <c r="N73" s="1"/>
      <c r="O73" s="23"/>
    </row>
    <row r="74" customFormat="false" ht="15" hidden="false" customHeight="false" outlineLevel="0" collapsed="false">
      <c r="A74" s="1"/>
      <c r="D74" s="1"/>
      <c r="F74" s="1"/>
      <c r="G74" s="1"/>
      <c r="H74" s="1"/>
      <c r="J74" s="1"/>
      <c r="K74" s="1"/>
      <c r="M74" s="23"/>
      <c r="N74" s="1"/>
      <c r="O74" s="23"/>
    </row>
    <row r="75" customFormat="false" ht="15" hidden="false" customHeight="false" outlineLevel="0" collapsed="false">
      <c r="A75" s="1"/>
      <c r="D75" s="1"/>
      <c r="F75" s="1"/>
      <c r="G75" s="1"/>
      <c r="H75" s="1"/>
      <c r="J75" s="1"/>
      <c r="K75" s="1"/>
      <c r="M75" s="23"/>
      <c r="N75" s="1"/>
      <c r="O75" s="23"/>
    </row>
    <row r="76" customFormat="false" ht="15" hidden="false" customHeight="false" outlineLevel="0" collapsed="false">
      <c r="A76" s="1"/>
      <c r="D76" s="1"/>
      <c r="F76" s="1"/>
      <c r="G76" s="1"/>
      <c r="H76" s="1"/>
      <c r="J76" s="1"/>
      <c r="K76" s="1"/>
      <c r="M76" s="23"/>
      <c r="N76" s="1"/>
      <c r="O76" s="23"/>
    </row>
    <row r="77" customFormat="false" ht="15" hidden="false" customHeight="false" outlineLevel="0" collapsed="false">
      <c r="A77" s="1"/>
      <c r="D77" s="1"/>
      <c r="F77" s="1"/>
      <c r="G77" s="1"/>
      <c r="H77" s="1"/>
      <c r="J77" s="1"/>
      <c r="K77" s="1"/>
      <c r="M77" s="23"/>
      <c r="N77" s="1"/>
      <c r="O77" s="23"/>
    </row>
    <row r="78" customFormat="false" ht="15" hidden="false" customHeight="true" outlineLevel="0" collapsed="false">
      <c r="A78" s="1"/>
      <c r="H78" s="1"/>
      <c r="J78" s="1"/>
      <c r="K78" s="1"/>
      <c r="M78" s="23"/>
      <c r="N78" s="3"/>
      <c r="O78" s="23"/>
    </row>
    <row r="79" customFormat="false" ht="15" hidden="false" customHeight="false" outlineLevel="0" collapsed="false">
      <c r="A79" s="1"/>
      <c r="H79" s="1"/>
      <c r="J79" s="1"/>
      <c r="K79" s="1"/>
      <c r="M79" s="23"/>
      <c r="N79" s="3"/>
      <c r="O79" s="23"/>
    </row>
    <row r="82" customFormat="false" ht="15" hidden="false" customHeight="false" outlineLevel="0" collapsed="false">
      <c r="A82" s="1"/>
      <c r="D82" s="1"/>
      <c r="F82" s="1"/>
      <c r="G82" s="1"/>
      <c r="H82" s="1"/>
      <c r="I82" s="1"/>
      <c r="J82" s="1"/>
      <c r="K82" s="1"/>
      <c r="M82" s="23"/>
      <c r="N82" s="1"/>
      <c r="O82" s="23"/>
    </row>
    <row r="83" customFormat="false" ht="15" hidden="false" customHeight="false" outlineLevel="0" collapsed="false">
      <c r="A83" s="1"/>
      <c r="D83" s="1"/>
      <c r="F83" s="1"/>
      <c r="G83" s="1"/>
      <c r="H83" s="1"/>
      <c r="J83" s="1"/>
      <c r="K83" s="1"/>
      <c r="L83" s="1"/>
      <c r="M83" s="23"/>
      <c r="N83" s="1"/>
      <c r="O83" s="23"/>
    </row>
    <row r="85" customFormat="false" ht="15" hidden="false" customHeight="false" outlineLevel="0" collapsed="false">
      <c r="A85" s="1"/>
      <c r="D85" s="1"/>
      <c r="H85" s="1"/>
      <c r="J85" s="1"/>
      <c r="K85" s="1"/>
      <c r="M85" s="23"/>
      <c r="N85" s="26"/>
      <c r="O85" s="23"/>
    </row>
    <row r="87" customFormat="false" ht="15" hidden="false" customHeight="false" outlineLevel="0" collapsed="false">
      <c r="A87" s="1"/>
      <c r="D87" s="1"/>
      <c r="F87" s="1"/>
      <c r="G87" s="1"/>
      <c r="H87" s="1"/>
      <c r="I87" s="1"/>
      <c r="J87" s="1"/>
      <c r="K87" s="1"/>
      <c r="M87" s="23"/>
      <c r="N87" s="1"/>
      <c r="O87" s="23"/>
    </row>
    <row r="88" customFormat="false" ht="15" hidden="false" customHeight="false" outlineLevel="0" collapsed="false">
      <c r="A88" s="1"/>
      <c r="D88" s="1"/>
      <c r="F88" s="1"/>
      <c r="G88" s="1"/>
      <c r="H88" s="1"/>
      <c r="I88" s="1"/>
      <c r="J88" s="1"/>
      <c r="K88" s="1"/>
      <c r="M88" s="23"/>
      <c r="N88" s="1"/>
      <c r="O88" s="23"/>
    </row>
    <row r="89" customFormat="false" ht="15" hidden="false" customHeight="false" outlineLevel="0" collapsed="false">
      <c r="A89" s="1"/>
      <c r="D89" s="1"/>
      <c r="F89" s="1"/>
      <c r="G89" s="1"/>
      <c r="H89" s="1"/>
      <c r="I89" s="1"/>
      <c r="J89" s="1"/>
      <c r="K89" s="1"/>
      <c r="M89" s="23"/>
      <c r="N89" s="1"/>
      <c r="O89" s="23"/>
    </row>
    <row r="90" customFormat="false" ht="15" hidden="false" customHeight="false" outlineLevel="0" collapsed="false">
      <c r="A90" s="1"/>
      <c r="D90" s="1"/>
      <c r="F90" s="1"/>
      <c r="G90" s="1"/>
      <c r="H90" s="1"/>
      <c r="I90" s="1"/>
      <c r="J90" s="1"/>
      <c r="K90" s="1"/>
      <c r="M90" s="23"/>
      <c r="N90" s="1"/>
      <c r="O90" s="23"/>
    </row>
    <row r="91" customFormat="false" ht="15" hidden="false" customHeight="false" outlineLevel="0" collapsed="false">
      <c r="A91" s="1"/>
      <c r="D91" s="1"/>
      <c r="F91" s="1"/>
      <c r="G91" s="1"/>
      <c r="H91" s="1"/>
      <c r="I91" s="1"/>
      <c r="J91" s="1"/>
      <c r="K91" s="1"/>
      <c r="M91" s="23"/>
      <c r="N91" s="1"/>
      <c r="O91" s="23"/>
    </row>
    <row r="92" customFormat="false" ht="15" hidden="false" customHeight="false" outlineLevel="0" collapsed="false">
      <c r="A92" s="1"/>
      <c r="D92" s="1"/>
      <c r="H92" s="1"/>
      <c r="J92" s="1"/>
      <c r="K92" s="1"/>
      <c r="M92" s="23"/>
      <c r="N92" s="26"/>
      <c r="O92" s="23"/>
    </row>
    <row r="93" customFormat="false" ht="15" hidden="false" customHeight="false" outlineLevel="0" collapsed="false">
      <c r="A93" s="1"/>
      <c r="H93" s="1"/>
      <c r="J93" s="1"/>
      <c r="M93" s="23"/>
      <c r="N93" s="1"/>
      <c r="O93" s="23"/>
    </row>
    <row r="94" customFormat="false" ht="15" hidden="false" customHeight="false" outlineLevel="0" collapsed="false">
      <c r="A94" s="1"/>
      <c r="H94" s="1"/>
      <c r="J94" s="1"/>
      <c r="M94" s="23"/>
      <c r="N94" s="1"/>
      <c r="O94" s="23"/>
    </row>
    <row r="96" customFormat="false" ht="15" hidden="false" customHeight="false" outlineLevel="0" collapsed="false">
      <c r="A96" s="1"/>
      <c r="D96" s="1"/>
      <c r="F96" s="1"/>
      <c r="G96" s="1"/>
      <c r="H96" s="1"/>
      <c r="I96" s="1"/>
      <c r="J96" s="1"/>
      <c r="K96" s="1"/>
      <c r="M96" s="23"/>
      <c r="N96" s="3"/>
      <c r="O96" s="23"/>
    </row>
    <row r="97" customFormat="false" ht="15" hidden="false" customHeight="false" outlineLevel="0" collapsed="false">
      <c r="A97" s="1"/>
      <c r="D97" s="1"/>
      <c r="F97" s="1"/>
      <c r="G97" s="1"/>
      <c r="H97" s="1"/>
      <c r="I97" s="1"/>
      <c r="J97" s="1"/>
      <c r="K97" s="1"/>
      <c r="M97" s="23"/>
      <c r="N97" s="3"/>
      <c r="O97" s="23"/>
    </row>
    <row r="98" customFormat="false" ht="15" hidden="false" customHeight="false" outlineLevel="0" collapsed="false">
      <c r="A98" s="1"/>
      <c r="D98" s="1"/>
      <c r="F98" s="1"/>
      <c r="G98" s="1"/>
      <c r="H98" s="1"/>
      <c r="I98" s="1"/>
      <c r="J98" s="1"/>
      <c r="K98" s="1"/>
      <c r="M98" s="23"/>
      <c r="N98" s="3"/>
      <c r="O98" s="23"/>
    </row>
    <row r="99" customFormat="false" ht="15" hidden="false" customHeight="false" outlineLevel="0" collapsed="false">
      <c r="A99" s="1"/>
      <c r="D99" s="1"/>
      <c r="F99" s="1"/>
      <c r="G99" s="1"/>
      <c r="H99" s="1"/>
      <c r="I99" s="1"/>
      <c r="J99" s="1"/>
      <c r="K99" s="1"/>
      <c r="M99" s="23"/>
      <c r="N99" s="3"/>
      <c r="O99" s="23"/>
    </row>
    <row r="101" customFormat="false" ht="15" hidden="false" customHeight="false" outlineLevel="0" collapsed="false">
      <c r="A101" s="1"/>
      <c r="D101" s="1"/>
      <c r="F101" s="1"/>
      <c r="H101" s="1"/>
      <c r="J101" s="1"/>
      <c r="K101" s="1"/>
      <c r="L101" s="1"/>
      <c r="M101" s="23"/>
      <c r="N101" s="1"/>
      <c r="O101" s="23"/>
    </row>
    <row r="102" customFormat="false" ht="15" hidden="false" customHeight="false" outlineLevel="0" collapsed="false">
      <c r="A102" s="1"/>
      <c r="D102" s="1"/>
      <c r="F102" s="1"/>
      <c r="H102" s="1"/>
      <c r="J102" s="1"/>
      <c r="K102" s="1"/>
      <c r="L102" s="1"/>
      <c r="M102" s="23"/>
      <c r="N102" s="1"/>
      <c r="O102" s="23"/>
    </row>
    <row r="103" customFormat="false" ht="15" hidden="false" customHeight="false" outlineLevel="0" collapsed="false">
      <c r="A103" s="1"/>
      <c r="D103" s="1"/>
      <c r="F103" s="1"/>
      <c r="H103" s="1"/>
      <c r="J103" s="1"/>
      <c r="K103" s="1"/>
      <c r="L103" s="1"/>
      <c r="M103" s="23"/>
      <c r="N103" s="1"/>
      <c r="O103" s="23"/>
    </row>
    <row r="104" customFormat="false" ht="15" hidden="false" customHeight="false" outlineLevel="0" collapsed="false">
      <c r="A104" s="1"/>
      <c r="D104" s="1"/>
      <c r="F104" s="1"/>
      <c r="H104" s="1"/>
      <c r="J104" s="1"/>
      <c r="K104" s="1"/>
      <c r="L104" s="1"/>
      <c r="M104" s="23"/>
      <c r="N104" s="1"/>
      <c r="O104" s="23"/>
    </row>
    <row r="105" customFormat="false" ht="15" hidden="false" customHeight="false" outlineLevel="0" collapsed="false">
      <c r="A105" s="1"/>
      <c r="D105" s="1"/>
      <c r="H105" s="1"/>
      <c r="J105" s="1"/>
      <c r="K105" s="1"/>
      <c r="L105" s="1"/>
      <c r="M105" s="23"/>
      <c r="N105" s="1"/>
      <c r="O105" s="23"/>
    </row>
    <row r="106" customFormat="false" ht="15" hidden="false" customHeight="false" outlineLevel="0" collapsed="false">
      <c r="A106" s="1"/>
      <c r="D106" s="1"/>
      <c r="F106" s="1"/>
      <c r="G106" s="1"/>
      <c r="H106" s="1"/>
      <c r="I106" s="1"/>
      <c r="J106" s="1"/>
      <c r="K106" s="1"/>
      <c r="M106" s="23"/>
      <c r="N106" s="1"/>
      <c r="O106" s="23"/>
    </row>
    <row r="107" customFormat="false" ht="15" hidden="false" customHeight="false" outlineLevel="0" collapsed="false">
      <c r="A107" s="1"/>
      <c r="D107" s="1"/>
      <c r="F107" s="1"/>
      <c r="G107" s="1"/>
      <c r="H107" s="1"/>
      <c r="I107" s="1"/>
      <c r="J107" s="1"/>
      <c r="K107" s="1"/>
      <c r="M107" s="23"/>
      <c r="N107" s="1"/>
      <c r="O107" s="23"/>
    </row>
    <row r="108" customFormat="false" ht="15" hidden="false" customHeight="false" outlineLevel="0" collapsed="false">
      <c r="A108" s="1"/>
      <c r="D108" s="1"/>
      <c r="F108" s="1"/>
      <c r="G108" s="1"/>
      <c r="H108" s="1"/>
      <c r="I108" s="1"/>
      <c r="J108" s="1"/>
      <c r="K108" s="1"/>
      <c r="M108" s="23"/>
      <c r="N108" s="1"/>
      <c r="O108" s="23"/>
    </row>
    <row r="109" customFormat="false" ht="15" hidden="false" customHeight="false" outlineLevel="0" collapsed="false">
      <c r="A109" s="1"/>
      <c r="D109" s="1"/>
      <c r="F109" s="1"/>
      <c r="G109" s="1"/>
      <c r="H109" s="1"/>
      <c r="I109" s="1"/>
      <c r="J109" s="1"/>
      <c r="K109" s="1"/>
      <c r="M109" s="23"/>
      <c r="N109" s="1"/>
      <c r="O109" s="23"/>
    </row>
    <row r="111" customFormat="false" ht="15" hidden="false" customHeight="false" outlineLevel="0" collapsed="false">
      <c r="A111" s="1"/>
      <c r="D111" s="1"/>
      <c r="F111" s="1"/>
      <c r="G111" s="1"/>
      <c r="H111" s="1"/>
      <c r="I111" s="1"/>
      <c r="J111" s="1"/>
      <c r="K111" s="1"/>
      <c r="L111" s="1"/>
      <c r="M111" s="23"/>
      <c r="N111" s="1"/>
      <c r="O111" s="23"/>
    </row>
    <row r="112" customFormat="false" ht="15" hidden="false" customHeight="false" outlineLevel="0" collapsed="false">
      <c r="A112" s="1"/>
      <c r="D112" s="1"/>
      <c r="F112" s="1"/>
      <c r="G112" s="1"/>
      <c r="H112" s="1"/>
      <c r="I112" s="1"/>
      <c r="J112" s="1"/>
      <c r="K112" s="1"/>
      <c r="L112" s="1"/>
      <c r="M112" s="23"/>
      <c r="N112" s="1"/>
      <c r="O112" s="23"/>
    </row>
    <row r="114" customFormat="false" ht="15" hidden="false" customHeight="false" outlineLevel="0" collapsed="false">
      <c r="A114" s="1"/>
      <c r="D114" s="1"/>
      <c r="F114" s="1"/>
      <c r="G114" s="1"/>
      <c r="H114" s="1"/>
      <c r="J114" s="1"/>
      <c r="K114" s="1"/>
      <c r="M114" s="23"/>
      <c r="N114" s="3"/>
      <c r="O114" s="23"/>
    </row>
    <row r="115" customFormat="false" ht="15" hidden="false" customHeight="false" outlineLevel="0" collapsed="false">
      <c r="A115" s="1"/>
      <c r="D115" s="1"/>
      <c r="F115" s="1"/>
      <c r="G115" s="1"/>
      <c r="H115" s="1"/>
      <c r="J115" s="1"/>
      <c r="K115" s="1"/>
      <c r="M115" s="23"/>
      <c r="N115" s="3"/>
      <c r="O115" s="23"/>
    </row>
    <row r="116" customFormat="false" ht="15" hidden="false" customHeight="false" outlineLevel="0" collapsed="false">
      <c r="A116" s="1"/>
      <c r="D116" s="1"/>
      <c r="F116" s="1"/>
      <c r="G116" s="1"/>
      <c r="H116" s="1"/>
      <c r="J116" s="1"/>
      <c r="K116" s="1"/>
      <c r="M116" s="23"/>
      <c r="N116" s="3"/>
      <c r="O116" s="23"/>
    </row>
    <row r="117" customFormat="false" ht="15" hidden="false" customHeight="false" outlineLevel="0" collapsed="false">
      <c r="A117" s="1"/>
      <c r="D117" s="1"/>
      <c r="F117" s="1"/>
      <c r="G117" s="1"/>
      <c r="H117" s="1"/>
      <c r="J117" s="1"/>
      <c r="K117" s="1"/>
      <c r="M117" s="23"/>
      <c r="N117" s="3"/>
      <c r="O117" s="23"/>
    </row>
    <row r="118" customFormat="false" ht="15" hidden="false" customHeight="false" outlineLevel="0" collapsed="false">
      <c r="A118" s="1"/>
      <c r="D118" s="1"/>
      <c r="F118" s="1"/>
      <c r="G118" s="1"/>
      <c r="H118" s="1"/>
      <c r="J118" s="1"/>
      <c r="K118" s="1"/>
      <c r="M118" s="23"/>
      <c r="N118" s="3"/>
      <c r="O118" s="23"/>
    </row>
    <row r="119" customFormat="false" ht="15" hidden="false" customHeight="false" outlineLevel="0" collapsed="false">
      <c r="A119" s="1"/>
      <c r="D119" s="1"/>
      <c r="F119" s="1"/>
      <c r="G119" s="1"/>
      <c r="H119" s="1"/>
      <c r="J119" s="1"/>
      <c r="K119" s="1"/>
      <c r="M119" s="23"/>
      <c r="N119" s="3"/>
      <c r="O119" s="23"/>
    </row>
    <row r="120" customFormat="false" ht="15" hidden="false" customHeight="false" outlineLevel="0" collapsed="false">
      <c r="A120" s="1"/>
      <c r="D120" s="1"/>
      <c r="F120" s="1"/>
      <c r="G120" s="1"/>
      <c r="H120" s="1"/>
      <c r="J120" s="1"/>
      <c r="K120" s="1"/>
      <c r="M120" s="23"/>
      <c r="N120" s="3"/>
      <c r="O120" s="23"/>
    </row>
    <row r="121" customFormat="false" ht="15" hidden="false" customHeight="false" outlineLevel="0" collapsed="false">
      <c r="A121" s="1"/>
      <c r="D121" s="1"/>
      <c r="F121" s="1"/>
      <c r="G121" s="1"/>
      <c r="H121" s="1"/>
      <c r="J121" s="1"/>
      <c r="K121" s="1"/>
      <c r="M121" s="23"/>
      <c r="N121" s="3"/>
      <c r="O121" s="23"/>
    </row>
    <row r="122" customFormat="false" ht="15" hidden="false" customHeight="false" outlineLevel="0" collapsed="false">
      <c r="A122" s="1"/>
      <c r="D122" s="1"/>
      <c r="F122" s="1"/>
      <c r="G122" s="1"/>
      <c r="H122" s="1"/>
      <c r="J122" s="1"/>
      <c r="K122" s="1"/>
      <c r="M122" s="23"/>
      <c r="N122" s="3"/>
      <c r="O122" s="23"/>
    </row>
    <row r="123" customFormat="false" ht="15" hidden="false" customHeight="false" outlineLevel="0" collapsed="false">
      <c r="A123" s="1"/>
      <c r="D123" s="1"/>
      <c r="F123" s="1"/>
      <c r="G123" s="1"/>
      <c r="H123" s="1"/>
      <c r="J123" s="1"/>
      <c r="K123" s="1"/>
      <c r="M123" s="23"/>
      <c r="N123" s="3"/>
      <c r="O123" s="23"/>
    </row>
    <row r="125" customFormat="false" ht="15" hidden="false" customHeight="false" outlineLevel="0" collapsed="false">
      <c r="A125" s="1"/>
      <c r="D125" s="1"/>
      <c r="F125" s="1"/>
      <c r="G125" s="1"/>
      <c r="H125" s="1"/>
      <c r="J125" s="1"/>
      <c r="K125" s="1"/>
      <c r="M125" s="23"/>
      <c r="N125" s="1"/>
      <c r="O125" s="23"/>
    </row>
    <row r="126" customFormat="false" ht="15" hidden="false" customHeight="false" outlineLevel="0" collapsed="false">
      <c r="A126" s="1"/>
      <c r="D126" s="1"/>
      <c r="F126" s="1"/>
      <c r="G126" s="1"/>
      <c r="H126" s="1"/>
      <c r="J126" s="1"/>
      <c r="K126" s="1"/>
      <c r="M126" s="23"/>
      <c r="N126" s="1"/>
      <c r="O126" s="23"/>
    </row>
    <row r="127" customFormat="false" ht="15" hidden="false" customHeight="false" outlineLevel="0" collapsed="false">
      <c r="A127" s="1"/>
      <c r="D127" s="1"/>
      <c r="F127" s="1"/>
      <c r="G127" s="1"/>
      <c r="H127" s="1"/>
      <c r="J127" s="1"/>
      <c r="K127" s="1"/>
      <c r="M127" s="23"/>
      <c r="N127" s="1"/>
      <c r="O127" s="23"/>
    </row>
    <row r="128" customFormat="false" ht="15" hidden="false" customHeight="false" outlineLevel="0" collapsed="false">
      <c r="A128" s="1"/>
      <c r="D128" s="1"/>
      <c r="F128" s="1"/>
      <c r="G128" s="1"/>
      <c r="H128" s="1"/>
      <c r="I128" s="1"/>
      <c r="J128" s="1"/>
      <c r="K128" s="1"/>
      <c r="M128" s="23"/>
      <c r="N128" s="1"/>
      <c r="O128" s="23"/>
    </row>
    <row r="130" customFormat="false" ht="15" hidden="false" customHeight="false" outlineLevel="0" collapsed="false">
      <c r="A130" s="1"/>
      <c r="D130" s="1"/>
      <c r="F130" s="1"/>
      <c r="H130" s="1"/>
      <c r="J130" s="1"/>
      <c r="M130" s="23"/>
      <c r="N130" s="1"/>
      <c r="O130" s="23"/>
    </row>
    <row r="131" customFormat="false" ht="15" hidden="false" customHeight="false" outlineLevel="0" collapsed="false">
      <c r="A131" s="1"/>
      <c r="D131" s="1"/>
      <c r="F131" s="1"/>
      <c r="H131" s="1"/>
      <c r="J131" s="1"/>
      <c r="M131" s="23"/>
      <c r="N131" s="1"/>
      <c r="O131" s="23"/>
    </row>
    <row r="132" customFormat="false" ht="15" hidden="false" customHeight="false" outlineLevel="0" collapsed="false">
      <c r="A132" s="1"/>
      <c r="D132" s="1"/>
      <c r="F132" s="1"/>
      <c r="H132" s="1"/>
      <c r="J132" s="1"/>
      <c r="M132" s="23"/>
      <c r="N132" s="1"/>
      <c r="O132" s="23"/>
    </row>
    <row r="133" customFormat="false" ht="15" hidden="false" customHeight="false" outlineLevel="0" collapsed="false">
      <c r="F133" s="1"/>
    </row>
    <row r="134" customFormat="false" ht="15" hidden="false" customHeight="false" outlineLevel="0" collapsed="false">
      <c r="A134" s="1"/>
      <c r="D134" s="1"/>
      <c r="F134" s="1"/>
      <c r="H134" s="1"/>
      <c r="J134" s="1"/>
      <c r="M134" s="23"/>
      <c r="N134" s="1"/>
      <c r="O134" s="23"/>
    </row>
    <row r="135" customFormat="false" ht="15" hidden="false" customHeight="false" outlineLevel="0" collapsed="false">
      <c r="F135" s="1"/>
    </row>
    <row r="136" customFormat="false" ht="15" hidden="false" customHeight="false" outlineLevel="0" collapsed="false">
      <c r="A136" s="1"/>
      <c r="F136" s="1"/>
      <c r="H136" s="1"/>
      <c r="J136" s="1"/>
      <c r="M136" s="23"/>
      <c r="N136" s="1"/>
      <c r="O136" s="23"/>
    </row>
    <row r="137" customFormat="false" ht="15" hidden="false" customHeight="false" outlineLevel="0" collapsed="false">
      <c r="A137" s="1"/>
      <c r="H137" s="1"/>
      <c r="J137" s="1"/>
      <c r="M137" s="23"/>
      <c r="N137" s="1"/>
      <c r="O137" s="23"/>
    </row>
    <row r="138" customFormat="false" ht="15" hidden="false" customHeight="false" outlineLevel="0" collapsed="false">
      <c r="A138" s="1"/>
      <c r="D138" s="1"/>
      <c r="F138" s="1"/>
      <c r="G138" s="1"/>
      <c r="H138" s="1"/>
      <c r="I138" s="1"/>
      <c r="J138" s="1"/>
      <c r="K138" s="1"/>
      <c r="L138" s="10"/>
      <c r="M138" s="32"/>
      <c r="N138" s="1"/>
      <c r="O138" s="35"/>
    </row>
    <row r="139" customFormat="false" ht="15" hidden="false" customHeight="false" outlineLevel="0" collapsed="false">
      <c r="A139" s="1"/>
      <c r="D139" s="1"/>
      <c r="F139" s="1"/>
      <c r="G139" s="1"/>
      <c r="H139" s="1"/>
      <c r="I139" s="1"/>
      <c r="J139" s="1"/>
      <c r="K139" s="1"/>
      <c r="L139" s="32"/>
      <c r="M139" s="32"/>
      <c r="N139" s="1"/>
      <c r="O139" s="35"/>
    </row>
    <row r="140" customFormat="false" ht="15" hidden="false" customHeight="false" outlineLevel="0" collapsed="false">
      <c r="A140" s="1"/>
      <c r="D140" s="1"/>
      <c r="G140" s="1"/>
      <c r="H140" s="1"/>
      <c r="J140" s="1"/>
      <c r="K140" s="1"/>
      <c r="M140" s="23"/>
      <c r="N140" s="1"/>
      <c r="O140" s="23"/>
    </row>
    <row r="141" customFormat="false" ht="15" hidden="false" customHeight="false" outlineLevel="0" collapsed="false">
      <c r="A141" s="1"/>
      <c r="D141" s="1"/>
      <c r="F141" s="1"/>
      <c r="G141" s="1"/>
      <c r="H141" s="1"/>
      <c r="I141" s="1"/>
      <c r="J141" s="1"/>
      <c r="K141" s="1"/>
      <c r="M141" s="23"/>
      <c r="N141" s="1"/>
      <c r="O141" s="23"/>
    </row>
    <row r="142" customFormat="false" ht="15" hidden="false" customHeight="false" outlineLevel="0" collapsed="false">
      <c r="A142" s="1"/>
      <c r="D142" s="1"/>
      <c r="F142" s="1"/>
      <c r="G142" s="1"/>
      <c r="H142" s="1"/>
      <c r="I142" s="1"/>
      <c r="J142" s="1"/>
      <c r="K142" s="1"/>
      <c r="M142" s="23"/>
      <c r="N142" s="1"/>
      <c r="O142" s="23"/>
    </row>
    <row r="143" customFormat="false" ht="15" hidden="false" customHeight="false" outlineLevel="0" collapsed="false">
      <c r="A143" s="1"/>
      <c r="D143" s="1"/>
      <c r="F143" s="1"/>
      <c r="G143" s="1"/>
      <c r="H143" s="1"/>
      <c r="I143" s="1"/>
      <c r="J143" s="1"/>
      <c r="K143" s="1"/>
      <c r="M143" s="23"/>
      <c r="N143" s="1"/>
      <c r="O143" s="23"/>
    </row>
    <row r="144" customFormat="false" ht="15" hidden="false" customHeight="false" outlineLevel="0" collapsed="false">
      <c r="A144" s="1"/>
      <c r="D144" s="1"/>
      <c r="F144" s="1"/>
      <c r="G144" s="1"/>
      <c r="H144" s="1"/>
      <c r="I144" s="1"/>
      <c r="J144" s="1"/>
      <c r="K144" s="1"/>
      <c r="M144" s="23"/>
      <c r="N144" s="1"/>
      <c r="O144" s="23"/>
    </row>
    <row r="145" customFormat="false" ht="15" hidden="false" customHeight="false" outlineLevel="0" collapsed="false">
      <c r="A145" s="1"/>
      <c r="D145" s="1"/>
      <c r="F145" s="1"/>
      <c r="G145" s="1"/>
      <c r="H145" s="1"/>
      <c r="I145" s="1"/>
      <c r="J145" s="1"/>
      <c r="K145" s="1"/>
      <c r="M145" s="23"/>
      <c r="N145" s="1"/>
      <c r="O145" s="23"/>
    </row>
    <row r="146" customFormat="false" ht="15" hidden="false" customHeight="false" outlineLevel="0" collapsed="false">
      <c r="A146" s="1"/>
      <c r="D146" s="1"/>
      <c r="F146" s="1"/>
      <c r="G146" s="1"/>
      <c r="H146" s="1"/>
      <c r="I146" s="1"/>
      <c r="J146" s="1"/>
      <c r="K146" s="1"/>
      <c r="M146" s="23"/>
      <c r="N146" s="1"/>
      <c r="O146" s="23"/>
    </row>
    <row r="147" customFormat="false" ht="15" hidden="false" customHeight="false" outlineLevel="0" collapsed="false">
      <c r="A147" s="1"/>
      <c r="D147" s="1"/>
      <c r="F147" s="1"/>
      <c r="G147" s="1"/>
      <c r="H147" s="1"/>
      <c r="I147" s="1"/>
      <c r="J147" s="1"/>
      <c r="K147" s="1"/>
      <c r="M147" s="23"/>
      <c r="N147" s="1"/>
      <c r="O147" s="23"/>
    </row>
    <row r="148" customFormat="false" ht="15" hidden="false" customHeight="false" outlineLevel="0" collapsed="false">
      <c r="A148" s="1"/>
      <c r="D148" s="1"/>
      <c r="F148" s="1"/>
      <c r="H148" s="1"/>
      <c r="I148" s="1"/>
      <c r="J148" s="1"/>
      <c r="K148" s="1"/>
      <c r="M148" s="23"/>
      <c r="N148" s="1"/>
      <c r="O148" s="23"/>
    </row>
    <row r="149" customFormat="false" ht="15" hidden="false" customHeight="false" outlineLevel="0" collapsed="false">
      <c r="A149" s="1"/>
      <c r="D149" s="1"/>
      <c r="F149" s="1"/>
      <c r="H149" s="1"/>
      <c r="I149" s="1"/>
      <c r="J149" s="1"/>
      <c r="K149" s="1"/>
      <c r="M149" s="23"/>
      <c r="N149" s="1"/>
      <c r="O149" s="23"/>
    </row>
    <row r="150" customFormat="false" ht="15" hidden="false" customHeight="false" outlineLevel="0" collapsed="false">
      <c r="H150" s="1"/>
      <c r="J150" s="1"/>
      <c r="K150" s="1"/>
      <c r="N150" s="1"/>
    </row>
    <row r="151" customFormat="false" ht="15" hidden="false" customHeight="false" outlineLevel="0" collapsed="false">
      <c r="H151" s="1"/>
      <c r="J151" s="1"/>
      <c r="K151" s="1"/>
      <c r="N151" s="1"/>
    </row>
    <row r="152" customFormat="false" ht="15" hidden="false" customHeight="false" outlineLevel="0" collapsed="false">
      <c r="H152" s="1"/>
      <c r="J152" s="1"/>
      <c r="K152" s="1"/>
      <c r="N152" s="1"/>
    </row>
    <row r="153" customFormat="false" ht="15" hidden="false" customHeight="false" outlineLevel="0" collapsed="false">
      <c r="H153" s="1"/>
      <c r="J153" s="1"/>
      <c r="K153" s="1"/>
      <c r="N153" s="1"/>
    </row>
    <row r="154" customFormat="false" ht="15" hidden="false" customHeight="false" outlineLevel="0" collapsed="false">
      <c r="H154" s="1"/>
      <c r="J154" s="1"/>
      <c r="K154" s="1"/>
      <c r="N154" s="1"/>
    </row>
    <row r="155" customFormat="false" ht="15" hidden="false" customHeight="false" outlineLevel="0" collapsed="false">
      <c r="H155" s="1"/>
      <c r="J155" s="1"/>
      <c r="K155" s="1"/>
      <c r="N155" s="1"/>
    </row>
    <row r="156" customFormat="false" ht="15" hidden="false" customHeight="false" outlineLevel="0" collapsed="false">
      <c r="H156" s="1"/>
      <c r="J156" s="1"/>
      <c r="K156" s="1"/>
      <c r="N156" s="1"/>
    </row>
    <row r="157" customFormat="false" ht="15" hidden="false" customHeight="false" outlineLevel="0" collapsed="false">
      <c r="H157" s="1"/>
      <c r="J157" s="1"/>
      <c r="K157" s="1"/>
      <c r="N157" s="1"/>
    </row>
    <row r="158" customFormat="false" ht="15" hidden="false" customHeight="false" outlineLevel="0" collapsed="false">
      <c r="H158" s="1"/>
      <c r="J158" s="1"/>
      <c r="K158" s="1"/>
      <c r="N158" s="1"/>
    </row>
    <row r="159" customFormat="false" ht="15" hidden="false" customHeight="false" outlineLevel="0" collapsed="false">
      <c r="H159" s="1"/>
      <c r="J159" s="1"/>
      <c r="K159" s="1"/>
      <c r="N159" s="1"/>
    </row>
    <row r="160" customFormat="false" ht="15" hidden="false" customHeight="false" outlineLevel="0" collapsed="false">
      <c r="H160" s="1"/>
      <c r="J160" s="1"/>
      <c r="K160" s="1"/>
      <c r="N160" s="1"/>
    </row>
    <row r="161" customFormat="false" ht="15" hidden="false" customHeight="false" outlineLevel="0" collapsed="false">
      <c r="H161" s="1"/>
      <c r="J161" s="1"/>
      <c r="K161" s="1"/>
      <c r="N161" s="1"/>
    </row>
    <row r="162" customFormat="false" ht="15" hidden="false" customHeight="false" outlineLevel="0" collapsed="false">
      <c r="H162" s="1"/>
      <c r="J162" s="1"/>
      <c r="K162" s="1"/>
      <c r="N162" s="1"/>
    </row>
    <row r="163" customFormat="false" ht="15" hidden="false" customHeight="false" outlineLevel="0" collapsed="false">
      <c r="H163" s="1"/>
      <c r="J163" s="1"/>
      <c r="K163" s="1"/>
    </row>
  </sheetData>
  <conditionalFormatting sqref="N64">
    <cfRule type="containsText" priority="2" operator="containsText" aboveAverage="0" equalAverage="0" bottom="0" percent="0" rank="0" text="a montar" dxfId="2299">
      <formula>NOT(ISERROR(SEARCH("a montar",N64)))</formula>
    </cfRule>
    <cfRule type="containsText" priority="3" operator="containsText" aboveAverage="0" equalAverage="0" bottom="0" percent="0" rank="0" text="a serrar" dxfId="2300">
      <formula>NOT(ISERROR(SEARCH("a serrar",N64)))</formula>
    </cfRule>
    <cfRule type="containsText" priority="4" operator="containsText" aboveAverage="0" equalAverage="0" bottom="0" percent="0" rank="0" text="pronto" dxfId="2301">
      <formula>NOT(ISERROR(SEARCH("pronto",N64)))</formula>
    </cfRule>
    <cfRule type="containsText" priority="5" operator="containsText" aboveAverage="0" equalAverage="0" bottom="0" percent="0" rank="0" text="empreita" dxfId="2302">
      <formula>NOT(ISERROR(SEARCH("empreita",N64)))</formula>
    </cfRule>
    <cfRule type="containsText" priority="6" operator="containsText" aboveAverage="0" equalAverage="0" bottom="0" percent="0" rank="0" text="previsto" dxfId="2303">
      <formula>NOT(ISERROR(SEARCH("previsto",N64)))</formula>
    </cfRule>
    <cfRule type="containsText" priority="7" operator="containsText" aboveAverage="0" equalAverage="0" bottom="0" percent="0" rank="0" text="produzindo" dxfId="2304">
      <formula>NOT(ISERROR(SEARCH("produzindo",N64)))</formula>
    </cfRule>
    <cfRule type="containsText" priority="8" operator="containsText" aboveAverage="0" equalAverage="0" bottom="0" percent="0" rank="0" text="material ok" dxfId="2305">
      <formula>NOT(ISERROR(SEARCH("material ok",N64)))</formula>
    </cfRule>
    <cfRule type="containsText" priority="9" operator="containsText" aboveAverage="0" equalAverage="0" bottom="0" percent="0" rank="0" text="a serrar" dxfId="2306">
      <formula>NOT(ISERROR(SEARCH("a serrar",N64)))</formula>
    </cfRule>
    <cfRule type="containsText" priority="10" operator="containsText" aboveAverage="0" equalAverage="0" bottom="0" percent="0" rank="0" text="pronto" dxfId="2307">
      <formula>NOT(ISERROR(SEARCH("pronto",N64)))</formula>
    </cfRule>
    <cfRule type="containsText" priority="11" operator="containsText" aboveAverage="0" equalAverage="0" bottom="0" percent="0" rank="0" text="empreita" dxfId="2308">
      <formula>NOT(ISERROR(SEARCH("empreita",N64)))</formula>
    </cfRule>
    <cfRule type="containsText" priority="12" operator="containsText" aboveAverage="0" equalAverage="0" bottom="0" percent="0" rank="0" text="previsto" dxfId="2309">
      <formula>NOT(ISERROR(SEARCH("previsto",N64)))</formula>
    </cfRule>
    <cfRule type="containsText" priority="13" operator="containsText" aboveAverage="0" equalAverage="0" bottom="0" percent="0" rank="0" text="produzindo" dxfId="2310">
      <formula>NOT(ISERROR(SEARCH("produzindo",N64)))</formula>
    </cfRule>
    <cfRule type="containsText" priority="14" operator="containsText" aboveAverage="0" equalAverage="0" bottom="0" percent="0" rank="0" text="material ok" dxfId="2311">
      <formula>NOT(ISERROR(SEARCH("material ok",N64)))</formula>
    </cfRule>
    <cfRule type="containsText" priority="15" operator="containsText" aboveAverage="0" equalAverage="0" bottom="0" percent="0" rank="0" text="a montar" dxfId="2312">
      <formula>NOT(ISERROR(SEARCH("a montar",N64)))</formula>
    </cfRule>
    <cfRule type="containsText" priority="16" operator="containsText" aboveAverage="0" equalAverage="0" bottom="0" percent="0" rank="0" text="a serrar" dxfId="2313">
      <formula>NOT(ISERROR(SEARCH("a serrar",N64)))</formula>
    </cfRule>
    <cfRule type="containsText" priority="17" operator="containsText" aboveAverage="0" equalAverage="0" bottom="0" percent="0" rank="0" text="pronto" dxfId="2314">
      <formula>NOT(ISERROR(SEARCH("pronto",N64)))</formula>
    </cfRule>
    <cfRule type="containsText" priority="18" operator="containsText" aboveAverage="0" equalAverage="0" bottom="0" percent="0" rank="0" text="empreita" dxfId="2315">
      <formula>NOT(ISERROR(SEARCH("empreita",N64)))</formula>
    </cfRule>
    <cfRule type="containsText" priority="19" operator="containsText" aboveAverage="0" equalAverage="0" bottom="0" percent="0" rank="0" text="previsto" dxfId="2316">
      <formula>NOT(ISERROR(SEARCH("previsto",N64)))</formula>
    </cfRule>
    <cfRule type="containsText" priority="20" operator="containsText" aboveAverage="0" equalAverage="0" bottom="0" percent="0" rank="0" text="produzindo" dxfId="2317">
      <formula>NOT(ISERROR(SEARCH("produzindo",N64)))</formula>
    </cfRule>
    <cfRule type="containsText" priority="21" operator="containsText" aboveAverage="0" equalAverage="0" bottom="0" percent="0" rank="0" text="material ok" dxfId="2318">
      <formula>NOT(ISERROR(SEARCH("material ok",N64)))</formula>
    </cfRule>
    <cfRule type="containsText" priority="22" operator="containsText" aboveAverage="0" equalAverage="0" bottom="0" percent="0" rank="0" text="a montar" dxfId="2319">
      <formula>NOT(ISERROR(SEARCH("a montar",N64)))</formula>
    </cfRule>
    <cfRule type="containsText" priority="23" operator="containsText" aboveAverage="0" equalAverage="0" bottom="0" percent="0" rank="0" text="a serrar" dxfId="2320">
      <formula>NOT(ISERROR(SEARCH("a serrar",N64)))</formula>
    </cfRule>
    <cfRule type="containsText" priority="24" operator="containsText" aboveAverage="0" equalAverage="0" bottom="0" percent="0" rank="0" text="pronto" dxfId="2321">
      <formula>NOT(ISERROR(SEARCH("pronto",N64)))</formula>
    </cfRule>
    <cfRule type="containsText" priority="25" operator="containsText" aboveAverage="0" equalAverage="0" bottom="0" percent="0" rank="0" text="empreita" dxfId="2322">
      <formula>NOT(ISERROR(SEARCH("empreita",N64)))</formula>
    </cfRule>
    <cfRule type="containsText" priority="26" operator="containsText" aboveAverage="0" equalAverage="0" bottom="0" percent="0" rank="0" text="previsto" dxfId="2323">
      <formula>NOT(ISERROR(SEARCH("previsto",N64)))</formula>
    </cfRule>
    <cfRule type="containsText" priority="27" operator="containsText" aboveAverage="0" equalAverage="0" bottom="0" percent="0" rank="0" text="produzindo" dxfId="2324">
      <formula>NOT(ISERROR(SEARCH("produzindo",N64)))</formula>
    </cfRule>
    <cfRule type="containsText" priority="28" operator="containsText" aboveAverage="0" equalAverage="0" bottom="0" percent="0" rank="0" text="material ok" dxfId="2325">
      <formula>NOT(ISERROR(SEARCH("material ok",N64)))</formula>
    </cfRule>
    <cfRule type="containsText" priority="29" operator="containsText" aboveAverage="0" equalAverage="0" bottom="0" percent="0" rank="0" text="a montar" dxfId="2326">
      <formula>NOT(ISERROR(SEARCH("a montar",N64)))</formula>
    </cfRule>
    <cfRule type="containsText" priority="30" operator="containsText" aboveAverage="0" equalAverage="0" bottom="0" percent="0" rank="0" text="a serrar" dxfId="2327">
      <formula>NOT(ISERROR(SEARCH("a serrar",N64)))</formula>
    </cfRule>
    <cfRule type="containsText" priority="31" operator="containsText" aboveAverage="0" equalAverage="0" bottom="0" percent="0" rank="0" text="pronto" dxfId="2328">
      <formula>NOT(ISERROR(SEARCH("pronto",N64)))</formula>
    </cfRule>
    <cfRule type="containsText" priority="32" operator="containsText" aboveAverage="0" equalAverage="0" bottom="0" percent="0" rank="0" text="empreita" dxfId="2329">
      <formula>NOT(ISERROR(SEARCH("empreita",N64)))</formula>
    </cfRule>
    <cfRule type="containsText" priority="33" operator="containsText" aboveAverage="0" equalAverage="0" bottom="0" percent="0" rank="0" text="previsto" dxfId="2330">
      <formula>NOT(ISERROR(SEARCH("previsto",N64)))</formula>
    </cfRule>
    <cfRule type="containsText" priority="34" operator="containsText" aboveAverage="0" equalAverage="0" bottom="0" percent="0" rank="0" text="produzindo" dxfId="2331">
      <formula>NOT(ISERROR(SEARCH("produzindo",N64)))</formula>
    </cfRule>
    <cfRule type="containsText" priority="35" operator="containsText" aboveAverage="0" equalAverage="0" bottom="0" percent="0" rank="0" text="material ok" dxfId="2332">
      <formula>NOT(ISERROR(SEARCH("material ok",N64)))</formula>
    </cfRule>
    <cfRule type="containsText" priority="36" operator="containsText" aboveAverage="0" equalAverage="0" bottom="0" percent="0" rank="0" text="a montar" dxfId="2333">
      <formula>NOT(ISERROR(SEARCH("a montar",N64)))</formula>
    </cfRule>
    <cfRule type="containsText" priority="37" operator="containsText" aboveAverage="0" equalAverage="0" bottom="0" percent="0" rank="0" text="a serrar" dxfId="2334">
      <formula>NOT(ISERROR(SEARCH("a serrar",N64)))</formula>
    </cfRule>
    <cfRule type="containsText" priority="38" operator="containsText" aboveAverage="0" equalAverage="0" bottom="0" percent="0" rank="0" text="pronto" dxfId="2335">
      <formula>NOT(ISERROR(SEARCH("pronto",N64)))</formula>
    </cfRule>
    <cfRule type="containsText" priority="39" operator="containsText" aboveAverage="0" equalAverage="0" bottom="0" percent="0" rank="0" text="empreita" dxfId="2336">
      <formula>NOT(ISERROR(SEARCH("empreita",N64)))</formula>
    </cfRule>
    <cfRule type="containsText" priority="40" operator="containsText" aboveAverage="0" equalAverage="0" bottom="0" percent="0" rank="0" text="previsto" dxfId="2337">
      <formula>NOT(ISERROR(SEARCH("previsto",N64)))</formula>
    </cfRule>
    <cfRule type="containsText" priority="41" operator="containsText" aboveAverage="0" equalAverage="0" bottom="0" percent="0" rank="0" text="produzindo" dxfId="2338">
      <formula>NOT(ISERROR(SEARCH("produzindo",N64)))</formula>
    </cfRule>
    <cfRule type="containsText" priority="42" operator="containsText" aboveAverage="0" equalAverage="0" bottom="0" percent="0" rank="0" text="material ok" dxfId="2339">
      <formula>NOT(ISERROR(SEARCH("material ok",N64)))</formula>
    </cfRule>
  </conditionalFormatting>
  <conditionalFormatting sqref="N64:N79">
    <cfRule type="containsText" priority="43" operator="containsText" aboveAverage="0" equalAverage="0" bottom="0" percent="0" rank="0" text="a montar" dxfId="2340">
      <formula>NOT(ISERROR(SEARCH("a montar",N64)))</formula>
    </cfRule>
    <cfRule type="containsText" priority="44" operator="containsText" aboveAverage="0" equalAverage="0" bottom="0" percent="0" rank="0" text="a serrar" dxfId="2341">
      <formula>NOT(ISERROR(SEARCH("a serrar",N64)))</formula>
    </cfRule>
    <cfRule type="containsText" priority="45" operator="containsText" aboveAverage="0" equalAverage="0" bottom="0" percent="0" rank="0" text="pronto" dxfId="2342">
      <formula>NOT(ISERROR(SEARCH("pronto",N64)))</formula>
    </cfRule>
    <cfRule type="containsText" priority="46" operator="containsText" aboveAverage="0" equalAverage="0" bottom="0" percent="0" rank="0" text="empreita" dxfId="2343">
      <formula>NOT(ISERROR(SEARCH("empreita",N64)))</formula>
    </cfRule>
    <cfRule type="containsText" priority="47" operator="containsText" aboveAverage="0" equalAverage="0" bottom="0" percent="0" rank="0" text="previsto" dxfId="2344">
      <formula>NOT(ISERROR(SEARCH("previsto",N64)))</formula>
    </cfRule>
    <cfRule type="containsText" priority="48" operator="containsText" aboveAverage="0" equalAverage="0" bottom="0" percent="0" rank="0" text="produzindo" dxfId="2345">
      <formula>NOT(ISERROR(SEARCH("produzindo",N64)))</formula>
    </cfRule>
    <cfRule type="containsText" priority="49" operator="containsText" aboveAverage="0" equalAverage="0" bottom="0" percent="0" rank="0" text="material ok" dxfId="2346">
      <formula>NOT(ISERROR(SEARCH("material ok",N64)))</formula>
    </cfRule>
  </conditionalFormatting>
  <conditionalFormatting sqref="N62">
    <cfRule type="containsText" priority="50" operator="containsText" aboveAverage="0" equalAverage="0" bottom="0" percent="0" rank="0" text="a montar" dxfId="2347">
      <formula>NOT(ISERROR(SEARCH("a montar",N62)))</formula>
    </cfRule>
    <cfRule type="containsText" priority="51" operator="containsText" aboveAverage="0" equalAverage="0" bottom="0" percent="0" rank="0" text="a serrar" dxfId="2348">
      <formula>NOT(ISERROR(SEARCH("a serrar",N62)))</formula>
    </cfRule>
    <cfRule type="containsText" priority="52" operator="containsText" aboveAverage="0" equalAverage="0" bottom="0" percent="0" rank="0" text="pronto" dxfId="2349">
      <formula>NOT(ISERROR(SEARCH("pronto",N62)))</formula>
    </cfRule>
    <cfRule type="containsText" priority="53" operator="containsText" aboveAverage="0" equalAverage="0" bottom="0" percent="0" rank="0" text="empreita" dxfId="2350">
      <formula>NOT(ISERROR(SEARCH("empreita",N62)))</formula>
    </cfRule>
    <cfRule type="containsText" priority="54" operator="containsText" aboveAverage="0" equalAverage="0" bottom="0" percent="0" rank="0" text="previsto" dxfId="2351">
      <formula>NOT(ISERROR(SEARCH("previsto",N62)))</formula>
    </cfRule>
    <cfRule type="containsText" priority="55" operator="containsText" aboveAverage="0" equalAverage="0" bottom="0" percent="0" rank="0" text="produzindo" dxfId="2352">
      <formula>NOT(ISERROR(SEARCH("produzindo",N62)))</formula>
    </cfRule>
    <cfRule type="containsText" priority="56" operator="containsText" aboveAverage="0" equalAverage="0" bottom="0" percent="0" rank="0" text="material ok" dxfId="2353">
      <formula>NOT(ISERROR(SEARCH("material ok",N62)))</formula>
    </cfRule>
    <cfRule type="containsText" priority="57" operator="containsText" aboveAverage="0" equalAverage="0" bottom="0" percent="0" rank="0" text="a serrar" dxfId="2354">
      <formula>NOT(ISERROR(SEARCH("a serrar",N62)))</formula>
    </cfRule>
    <cfRule type="containsText" priority="58" operator="containsText" aboveAverage="0" equalAverage="0" bottom="0" percent="0" rank="0" text="pronto" dxfId="2355">
      <formula>NOT(ISERROR(SEARCH("pronto",N62)))</formula>
    </cfRule>
    <cfRule type="containsText" priority="59" operator="containsText" aboveAverage="0" equalAverage="0" bottom="0" percent="0" rank="0" text="empreita" dxfId="2356">
      <formula>NOT(ISERROR(SEARCH("empreita",N62)))</formula>
    </cfRule>
    <cfRule type="containsText" priority="60" operator="containsText" aboveAverage="0" equalAverage="0" bottom="0" percent="0" rank="0" text="previsto" dxfId="2357">
      <formula>NOT(ISERROR(SEARCH("previsto",N62)))</formula>
    </cfRule>
    <cfRule type="containsText" priority="61" operator="containsText" aboveAverage="0" equalAverage="0" bottom="0" percent="0" rank="0" text="produzindo" dxfId="2358">
      <formula>NOT(ISERROR(SEARCH("produzindo",N62)))</formula>
    </cfRule>
    <cfRule type="containsText" priority="62" operator="containsText" aboveAverage="0" equalAverage="0" bottom="0" percent="0" rank="0" text="material ok" dxfId="2359">
      <formula>NOT(ISERROR(SEARCH("material ok",N62)))</formula>
    </cfRule>
    <cfRule type="containsText" priority="63" operator="containsText" aboveAverage="0" equalAverage="0" bottom="0" percent="0" rank="0" text="a montar" dxfId="2360">
      <formula>NOT(ISERROR(SEARCH("a montar",N62)))</formula>
    </cfRule>
    <cfRule type="containsText" priority="64" operator="containsText" aboveAverage="0" equalAverage="0" bottom="0" percent="0" rank="0" text="a serrar" dxfId="2361">
      <formula>NOT(ISERROR(SEARCH("a serrar",N62)))</formula>
    </cfRule>
    <cfRule type="containsText" priority="65" operator="containsText" aboveAverage="0" equalAverage="0" bottom="0" percent="0" rank="0" text="pronto" dxfId="2362">
      <formula>NOT(ISERROR(SEARCH("pronto",N62)))</formula>
    </cfRule>
    <cfRule type="containsText" priority="66" operator="containsText" aboveAverage="0" equalAverage="0" bottom="0" percent="0" rank="0" text="empreita" dxfId="2363">
      <formula>NOT(ISERROR(SEARCH("empreita",N62)))</formula>
    </cfRule>
    <cfRule type="containsText" priority="67" operator="containsText" aboveAverage="0" equalAverage="0" bottom="0" percent="0" rank="0" text="previsto" dxfId="2364">
      <formula>NOT(ISERROR(SEARCH("previsto",N62)))</formula>
    </cfRule>
    <cfRule type="containsText" priority="68" operator="containsText" aboveAverage="0" equalAverage="0" bottom="0" percent="0" rank="0" text="produzindo" dxfId="2365">
      <formula>NOT(ISERROR(SEARCH("produzindo",N62)))</formula>
    </cfRule>
    <cfRule type="containsText" priority="69" operator="containsText" aboveAverage="0" equalAverage="0" bottom="0" percent="0" rank="0" text="material ok" dxfId="2366">
      <formula>NOT(ISERROR(SEARCH("material ok",N62)))</formula>
    </cfRule>
    <cfRule type="containsText" priority="70" operator="containsText" aboveAverage="0" equalAverage="0" bottom="0" percent="0" rank="0" text="a montar" dxfId="2367">
      <formula>NOT(ISERROR(SEARCH("a montar",N62)))</formula>
    </cfRule>
    <cfRule type="containsText" priority="71" operator="containsText" aboveAverage="0" equalAverage="0" bottom="0" percent="0" rank="0" text="a serrar" dxfId="2368">
      <formula>NOT(ISERROR(SEARCH("a serrar",N62)))</formula>
    </cfRule>
    <cfRule type="containsText" priority="72" operator="containsText" aboveAverage="0" equalAverage="0" bottom="0" percent="0" rank="0" text="pronto" dxfId="2369">
      <formula>NOT(ISERROR(SEARCH("pronto",N62)))</formula>
    </cfRule>
    <cfRule type="containsText" priority="73" operator="containsText" aboveAverage="0" equalAverage="0" bottom="0" percent="0" rank="0" text="empreita" dxfId="2370">
      <formula>NOT(ISERROR(SEARCH("empreita",N62)))</formula>
    </cfRule>
    <cfRule type="containsText" priority="74" operator="containsText" aboveAverage="0" equalAverage="0" bottom="0" percent="0" rank="0" text="previsto" dxfId="2371">
      <formula>NOT(ISERROR(SEARCH("previsto",N62)))</formula>
    </cfRule>
    <cfRule type="containsText" priority="75" operator="containsText" aboveAverage="0" equalAverage="0" bottom="0" percent="0" rank="0" text="produzindo" dxfId="2372">
      <formula>NOT(ISERROR(SEARCH("produzindo",N62)))</formula>
    </cfRule>
    <cfRule type="containsText" priority="76" operator="containsText" aboveAverage="0" equalAverage="0" bottom="0" percent="0" rank="0" text="material ok" dxfId="2373">
      <formula>NOT(ISERROR(SEARCH("material ok",N62)))</formula>
    </cfRule>
    <cfRule type="containsText" priority="77" operator="containsText" aboveAverage="0" equalAverage="0" bottom="0" percent="0" rank="0" text="a montar" dxfId="2374">
      <formula>NOT(ISERROR(SEARCH("a montar",N62)))</formula>
    </cfRule>
    <cfRule type="containsText" priority="78" operator="containsText" aboveAverage="0" equalAverage="0" bottom="0" percent="0" rank="0" text="a serrar" dxfId="2375">
      <formula>NOT(ISERROR(SEARCH("a serrar",N62)))</formula>
    </cfRule>
    <cfRule type="containsText" priority="79" operator="containsText" aboveAverage="0" equalAverage="0" bottom="0" percent="0" rank="0" text="pronto" dxfId="2376">
      <formula>NOT(ISERROR(SEARCH("pronto",N62)))</formula>
    </cfRule>
    <cfRule type="containsText" priority="80" operator="containsText" aboveAverage="0" equalAverage="0" bottom="0" percent="0" rank="0" text="empreita" dxfId="2377">
      <formula>NOT(ISERROR(SEARCH("empreita",N62)))</formula>
    </cfRule>
    <cfRule type="containsText" priority="81" operator="containsText" aboveAverage="0" equalAverage="0" bottom="0" percent="0" rank="0" text="previsto" dxfId="2378">
      <formula>NOT(ISERROR(SEARCH("previsto",N62)))</formula>
    </cfRule>
    <cfRule type="containsText" priority="82" operator="containsText" aboveAverage="0" equalAverage="0" bottom="0" percent="0" rank="0" text="produzindo" dxfId="2379">
      <formula>NOT(ISERROR(SEARCH("produzindo",N62)))</formula>
    </cfRule>
    <cfRule type="containsText" priority="83" operator="containsText" aboveAverage="0" equalAverage="0" bottom="0" percent="0" rank="0" text="material ok" dxfId="2380">
      <formula>NOT(ISERROR(SEARCH("material ok",N62)))</formula>
    </cfRule>
    <cfRule type="containsText" priority="84" operator="containsText" aboveAverage="0" equalAverage="0" bottom="0" percent="0" rank="0" text="a montar" dxfId="2381">
      <formula>NOT(ISERROR(SEARCH("a montar",N62)))</formula>
    </cfRule>
    <cfRule type="containsText" priority="85" operator="containsText" aboveAverage="0" equalAverage="0" bottom="0" percent="0" rank="0" text="a serrar" dxfId="2382">
      <formula>NOT(ISERROR(SEARCH("a serrar",N62)))</formula>
    </cfRule>
    <cfRule type="containsText" priority="86" operator="containsText" aboveAverage="0" equalAverage="0" bottom="0" percent="0" rank="0" text="pronto" dxfId="2383">
      <formula>NOT(ISERROR(SEARCH("pronto",N62)))</formula>
    </cfRule>
    <cfRule type="containsText" priority="87" operator="containsText" aboveAverage="0" equalAverage="0" bottom="0" percent="0" rank="0" text="empreita" dxfId="2384">
      <formula>NOT(ISERROR(SEARCH("empreita",N62)))</formula>
    </cfRule>
    <cfRule type="containsText" priority="88" operator="containsText" aboveAverage="0" equalAverage="0" bottom="0" percent="0" rank="0" text="previsto" dxfId="2385">
      <formula>NOT(ISERROR(SEARCH("previsto",N62)))</formula>
    </cfRule>
    <cfRule type="containsText" priority="89" operator="containsText" aboveAverage="0" equalAverage="0" bottom="0" percent="0" rank="0" text="produzindo" dxfId="2386">
      <formula>NOT(ISERROR(SEARCH("produzindo",N62)))</formula>
    </cfRule>
    <cfRule type="containsText" priority="90" operator="containsText" aboveAverage="0" equalAverage="0" bottom="0" percent="0" rank="0" text="material ok" dxfId="2387">
      <formula>NOT(ISERROR(SEARCH("material ok",N62)))</formula>
    </cfRule>
  </conditionalFormatting>
  <conditionalFormatting sqref="N59:N60">
    <cfRule type="containsText" priority="91" operator="containsText" aboveAverage="0" equalAverage="0" bottom="0" percent="0" rank="0" text="a montar" dxfId="2388">
      <formula>NOT(ISERROR(SEARCH("a montar",N59)))</formula>
    </cfRule>
    <cfRule type="containsText" priority="92" operator="containsText" aboveAverage="0" equalAverage="0" bottom="0" percent="0" rank="0" text="a serrar" dxfId="2389">
      <formula>NOT(ISERROR(SEARCH("a serrar",N59)))</formula>
    </cfRule>
    <cfRule type="containsText" priority="93" operator="containsText" aboveAverage="0" equalAverage="0" bottom="0" percent="0" rank="0" text="pronto" dxfId="2390">
      <formula>NOT(ISERROR(SEARCH("pronto",N59)))</formula>
    </cfRule>
    <cfRule type="containsText" priority="94" operator="containsText" aboveAverage="0" equalAverage="0" bottom="0" percent="0" rank="0" text="empreita" dxfId="2391">
      <formula>NOT(ISERROR(SEARCH("empreita",N59)))</formula>
    </cfRule>
    <cfRule type="containsText" priority="95" operator="containsText" aboveAverage="0" equalAverage="0" bottom="0" percent="0" rank="0" text="previsto" dxfId="2392">
      <formula>NOT(ISERROR(SEARCH("previsto",N59)))</formula>
    </cfRule>
    <cfRule type="containsText" priority="96" operator="containsText" aboveAverage="0" equalAverage="0" bottom="0" percent="0" rank="0" text="produzindo" dxfId="2393">
      <formula>NOT(ISERROR(SEARCH("produzindo",N59)))</formula>
    </cfRule>
    <cfRule type="containsText" priority="97" operator="containsText" aboveAverage="0" equalAverage="0" bottom="0" percent="0" rank="0" text="material ok" dxfId="2394">
      <formula>NOT(ISERROR(SEARCH("material ok",N59)))</formula>
    </cfRule>
    <cfRule type="containsText" priority="98" operator="containsText" aboveAverage="0" equalAverage="0" bottom="0" percent="0" rank="0" text="a serrar" dxfId="2395">
      <formula>NOT(ISERROR(SEARCH("a serrar",N59)))</formula>
    </cfRule>
    <cfRule type="containsText" priority="99" operator="containsText" aboveAverage="0" equalAverage="0" bottom="0" percent="0" rank="0" text="pronto" dxfId="2396">
      <formula>NOT(ISERROR(SEARCH("pronto",N59)))</formula>
    </cfRule>
    <cfRule type="containsText" priority="100" operator="containsText" aboveAverage="0" equalAverage="0" bottom="0" percent="0" rank="0" text="empreita" dxfId="2397">
      <formula>NOT(ISERROR(SEARCH("empreita",N59)))</formula>
    </cfRule>
    <cfRule type="containsText" priority="101" operator="containsText" aboveAverage="0" equalAverage="0" bottom="0" percent="0" rank="0" text="previsto" dxfId="2398">
      <formula>NOT(ISERROR(SEARCH("previsto",N59)))</formula>
    </cfRule>
    <cfRule type="containsText" priority="102" operator="containsText" aboveAverage="0" equalAverage="0" bottom="0" percent="0" rank="0" text="produzindo" dxfId="2399">
      <formula>NOT(ISERROR(SEARCH("produzindo",N59)))</formula>
    </cfRule>
    <cfRule type="containsText" priority="103" operator="containsText" aboveAverage="0" equalAverage="0" bottom="0" percent="0" rank="0" text="material ok" dxfId="2400">
      <formula>NOT(ISERROR(SEARCH("material ok",N59)))</formula>
    </cfRule>
    <cfRule type="containsText" priority="104" operator="containsText" aboveAverage="0" equalAverage="0" bottom="0" percent="0" rank="0" text="a montar" dxfId="2401">
      <formula>NOT(ISERROR(SEARCH("a montar",N59)))</formula>
    </cfRule>
    <cfRule type="containsText" priority="105" operator="containsText" aboveAverage="0" equalAverage="0" bottom="0" percent="0" rank="0" text="a serrar" dxfId="2402">
      <formula>NOT(ISERROR(SEARCH("a serrar",N59)))</formula>
    </cfRule>
    <cfRule type="containsText" priority="106" operator="containsText" aboveAverage="0" equalAverage="0" bottom="0" percent="0" rank="0" text="pronto" dxfId="2403">
      <formula>NOT(ISERROR(SEARCH("pronto",N59)))</formula>
    </cfRule>
    <cfRule type="containsText" priority="107" operator="containsText" aboveAverage="0" equalAverage="0" bottom="0" percent="0" rank="0" text="empreita" dxfId="2404">
      <formula>NOT(ISERROR(SEARCH("empreita",N59)))</formula>
    </cfRule>
    <cfRule type="containsText" priority="108" operator="containsText" aboveAverage="0" equalAverage="0" bottom="0" percent="0" rank="0" text="previsto" dxfId="2405">
      <formula>NOT(ISERROR(SEARCH("previsto",N59)))</formula>
    </cfRule>
    <cfRule type="containsText" priority="109" operator="containsText" aboveAverage="0" equalAverage="0" bottom="0" percent="0" rank="0" text="produzindo" dxfId="2406">
      <formula>NOT(ISERROR(SEARCH("produzindo",N59)))</formula>
    </cfRule>
    <cfRule type="containsText" priority="110" operator="containsText" aboveAverage="0" equalAverage="0" bottom="0" percent="0" rank="0" text="material ok" dxfId="2407">
      <formula>NOT(ISERROR(SEARCH("material ok",N59)))</formula>
    </cfRule>
    <cfRule type="containsText" priority="111" operator="containsText" aboveAverage="0" equalAverage="0" bottom="0" percent="0" rank="0" text="a montar" dxfId="2408">
      <formula>NOT(ISERROR(SEARCH("a montar",N59)))</formula>
    </cfRule>
    <cfRule type="containsText" priority="112" operator="containsText" aboveAverage="0" equalAverage="0" bottom="0" percent="0" rank="0" text="a serrar" dxfId="2409">
      <formula>NOT(ISERROR(SEARCH("a serrar",N59)))</formula>
    </cfRule>
    <cfRule type="containsText" priority="113" operator="containsText" aboveAverage="0" equalAverage="0" bottom="0" percent="0" rank="0" text="pronto" dxfId="2410">
      <formula>NOT(ISERROR(SEARCH("pronto",N59)))</formula>
    </cfRule>
    <cfRule type="containsText" priority="114" operator="containsText" aboveAverage="0" equalAverage="0" bottom="0" percent="0" rank="0" text="empreita" dxfId="2411">
      <formula>NOT(ISERROR(SEARCH("empreita",N59)))</formula>
    </cfRule>
    <cfRule type="containsText" priority="115" operator="containsText" aboveAverage="0" equalAverage="0" bottom="0" percent="0" rank="0" text="previsto" dxfId="2412">
      <formula>NOT(ISERROR(SEARCH("previsto",N59)))</formula>
    </cfRule>
    <cfRule type="containsText" priority="116" operator="containsText" aboveAverage="0" equalAverage="0" bottom="0" percent="0" rank="0" text="produzindo" dxfId="2413">
      <formula>NOT(ISERROR(SEARCH("produzindo",N59)))</formula>
    </cfRule>
    <cfRule type="containsText" priority="117" operator="containsText" aboveAverage="0" equalAverage="0" bottom="0" percent="0" rank="0" text="material ok" dxfId="2414">
      <formula>NOT(ISERROR(SEARCH("material ok",N59)))</formula>
    </cfRule>
    <cfRule type="containsText" priority="118" operator="containsText" aboveAverage="0" equalAverage="0" bottom="0" percent="0" rank="0" text="a montar" dxfId="2415">
      <formula>NOT(ISERROR(SEARCH("a montar",N59)))</formula>
    </cfRule>
    <cfRule type="containsText" priority="119" operator="containsText" aboveAverage="0" equalAverage="0" bottom="0" percent="0" rank="0" text="a serrar" dxfId="2416">
      <formula>NOT(ISERROR(SEARCH("a serrar",N59)))</formula>
    </cfRule>
    <cfRule type="containsText" priority="120" operator="containsText" aboveAverage="0" equalAverage="0" bottom="0" percent="0" rank="0" text="pronto" dxfId="2417">
      <formula>NOT(ISERROR(SEARCH("pronto",N59)))</formula>
    </cfRule>
    <cfRule type="containsText" priority="121" operator="containsText" aboveAverage="0" equalAverage="0" bottom="0" percent="0" rank="0" text="empreita" dxfId="2418">
      <formula>NOT(ISERROR(SEARCH("empreita",N59)))</formula>
    </cfRule>
    <cfRule type="containsText" priority="122" operator="containsText" aboveAverage="0" equalAverage="0" bottom="0" percent="0" rank="0" text="previsto" dxfId="2419">
      <formula>NOT(ISERROR(SEARCH("previsto",N59)))</formula>
    </cfRule>
    <cfRule type="containsText" priority="123" operator="containsText" aboveAverage="0" equalAverage="0" bottom="0" percent="0" rank="0" text="produzindo" dxfId="2420">
      <formula>NOT(ISERROR(SEARCH("produzindo",N59)))</formula>
    </cfRule>
    <cfRule type="containsText" priority="124" operator="containsText" aboveAverage="0" equalAverage="0" bottom="0" percent="0" rank="0" text="material ok" dxfId="2421">
      <formula>NOT(ISERROR(SEARCH("material ok",N59)))</formula>
    </cfRule>
    <cfRule type="containsText" priority="125" operator="containsText" aboveAverage="0" equalAverage="0" bottom="0" percent="0" rank="0" text="a montar" dxfId="2422">
      <formula>NOT(ISERROR(SEARCH("a montar",N59)))</formula>
    </cfRule>
    <cfRule type="containsText" priority="126" operator="containsText" aboveAverage="0" equalAverage="0" bottom="0" percent="0" rank="0" text="a serrar" dxfId="2423">
      <formula>NOT(ISERROR(SEARCH("a serrar",N59)))</formula>
    </cfRule>
    <cfRule type="containsText" priority="127" operator="containsText" aboveAverage="0" equalAverage="0" bottom="0" percent="0" rank="0" text="pronto" dxfId="2424">
      <formula>NOT(ISERROR(SEARCH("pronto",N59)))</formula>
    </cfRule>
    <cfRule type="containsText" priority="128" operator="containsText" aboveAverage="0" equalAverage="0" bottom="0" percent="0" rank="0" text="empreita" dxfId="2425">
      <formula>NOT(ISERROR(SEARCH("empreita",N59)))</formula>
    </cfRule>
    <cfRule type="containsText" priority="129" operator="containsText" aboveAverage="0" equalAverage="0" bottom="0" percent="0" rank="0" text="previsto" dxfId="2426">
      <formula>NOT(ISERROR(SEARCH("previsto",N59)))</formula>
    </cfRule>
    <cfRule type="containsText" priority="130" operator="containsText" aboveAverage="0" equalAverage="0" bottom="0" percent="0" rank="0" text="produzindo" dxfId="2427">
      <formula>NOT(ISERROR(SEARCH("produzindo",N59)))</formula>
    </cfRule>
    <cfRule type="containsText" priority="131" operator="containsText" aboveAverage="0" equalAverage="0" bottom="0" percent="0" rank="0" text="material ok" dxfId="2428">
      <formula>NOT(ISERROR(SEARCH("material ok",N59)))</formula>
    </cfRule>
  </conditionalFormatting>
  <conditionalFormatting sqref="N59:N63">
    <cfRule type="containsText" priority="132" operator="containsText" aboveAverage="0" equalAverage="0" bottom="0" percent="0" rank="0" text="a montar" dxfId="2429">
      <formula>NOT(ISERROR(SEARCH("a montar",N59)))</formula>
    </cfRule>
    <cfRule type="containsText" priority="133" operator="containsText" aboveAverage="0" equalAverage="0" bottom="0" percent="0" rank="0" text="a serrar" dxfId="2430">
      <formula>NOT(ISERROR(SEARCH("a serrar",N59)))</formula>
    </cfRule>
    <cfRule type="containsText" priority="134" operator="containsText" aboveAverage="0" equalAverage="0" bottom="0" percent="0" rank="0" text="pronto" dxfId="2431">
      <formula>NOT(ISERROR(SEARCH("pronto",N59)))</formula>
    </cfRule>
    <cfRule type="containsText" priority="135" operator="containsText" aboveAverage="0" equalAverage="0" bottom="0" percent="0" rank="0" text="empreita" dxfId="2432">
      <formula>NOT(ISERROR(SEARCH("empreita",N59)))</formula>
    </cfRule>
    <cfRule type="containsText" priority="136" operator="containsText" aboveAverage="0" equalAverage="0" bottom="0" percent="0" rank="0" text="previsto" dxfId="2433">
      <formula>NOT(ISERROR(SEARCH("previsto",N59)))</formula>
    </cfRule>
    <cfRule type="containsText" priority="137" operator="containsText" aboveAverage="0" equalAverage="0" bottom="0" percent="0" rank="0" text="produzindo" dxfId="2434">
      <formula>NOT(ISERROR(SEARCH("produzindo",N59)))</formula>
    </cfRule>
    <cfRule type="containsText" priority="138" operator="containsText" aboveAverage="0" equalAverage="0" bottom="0" percent="0" rank="0" text="material ok" dxfId="2435">
      <formula>NOT(ISERROR(SEARCH("material ok",N59)))</formula>
    </cfRule>
  </conditionalFormatting>
  <conditionalFormatting sqref="N56:N57">
    <cfRule type="containsText" priority="139" operator="containsText" aboveAverage="0" equalAverage="0" bottom="0" percent="0" rank="0" text="a montar" dxfId="2436">
      <formula>NOT(ISERROR(SEARCH("a montar",N56)))</formula>
    </cfRule>
    <cfRule type="containsText" priority="140" operator="containsText" aboveAverage="0" equalAverage="0" bottom="0" percent="0" rank="0" text="a serrar" dxfId="2437">
      <formula>NOT(ISERROR(SEARCH("a serrar",N56)))</formula>
    </cfRule>
    <cfRule type="containsText" priority="141" operator="containsText" aboveAverage="0" equalAverage="0" bottom="0" percent="0" rank="0" text="pronto" dxfId="2438">
      <formula>NOT(ISERROR(SEARCH("pronto",N56)))</formula>
    </cfRule>
    <cfRule type="containsText" priority="142" operator="containsText" aboveAverage="0" equalAverage="0" bottom="0" percent="0" rank="0" text="empreita" dxfId="2439">
      <formula>NOT(ISERROR(SEARCH("empreita",N56)))</formula>
    </cfRule>
    <cfRule type="containsText" priority="143" operator="containsText" aboveAverage="0" equalAverage="0" bottom="0" percent="0" rank="0" text="previsto" dxfId="2440">
      <formula>NOT(ISERROR(SEARCH("previsto",N56)))</formula>
    </cfRule>
    <cfRule type="containsText" priority="144" operator="containsText" aboveAverage="0" equalAverage="0" bottom="0" percent="0" rank="0" text="produzindo" dxfId="2441">
      <formula>NOT(ISERROR(SEARCH("produzindo",N56)))</formula>
    </cfRule>
    <cfRule type="containsText" priority="145" operator="containsText" aboveAverage="0" equalAverage="0" bottom="0" percent="0" rank="0" text="material ok" dxfId="2442">
      <formula>NOT(ISERROR(SEARCH("material ok",N56)))</formula>
    </cfRule>
    <cfRule type="containsText" priority="146" operator="containsText" aboveAverage="0" equalAverage="0" bottom="0" percent="0" rank="0" text="a serrar" dxfId="2443">
      <formula>NOT(ISERROR(SEARCH("a serrar",N56)))</formula>
    </cfRule>
    <cfRule type="containsText" priority="147" operator="containsText" aboveAverage="0" equalAverage="0" bottom="0" percent="0" rank="0" text="pronto" dxfId="2444">
      <formula>NOT(ISERROR(SEARCH("pronto",N56)))</formula>
    </cfRule>
    <cfRule type="containsText" priority="148" operator="containsText" aboveAverage="0" equalAverage="0" bottom="0" percent="0" rank="0" text="empreita" dxfId="2445">
      <formula>NOT(ISERROR(SEARCH("empreita",N56)))</formula>
    </cfRule>
    <cfRule type="containsText" priority="149" operator="containsText" aboveAverage="0" equalAverage="0" bottom="0" percent="0" rank="0" text="previsto" dxfId="2446">
      <formula>NOT(ISERROR(SEARCH("previsto",N56)))</formula>
    </cfRule>
    <cfRule type="containsText" priority="150" operator="containsText" aboveAverage="0" equalAverage="0" bottom="0" percent="0" rank="0" text="produzindo" dxfId="2447">
      <formula>NOT(ISERROR(SEARCH("produzindo",N56)))</formula>
    </cfRule>
    <cfRule type="containsText" priority="151" operator="containsText" aboveAverage="0" equalAverage="0" bottom="0" percent="0" rank="0" text="material ok" dxfId="2448">
      <formula>NOT(ISERROR(SEARCH("material ok",N56)))</formula>
    </cfRule>
    <cfRule type="containsText" priority="152" operator="containsText" aboveAverage="0" equalAverage="0" bottom="0" percent="0" rank="0" text="a montar" dxfId="2449">
      <formula>NOT(ISERROR(SEARCH("a montar",N56)))</formula>
    </cfRule>
    <cfRule type="containsText" priority="153" operator="containsText" aboveAverage="0" equalAverage="0" bottom="0" percent="0" rank="0" text="a serrar" dxfId="2450">
      <formula>NOT(ISERROR(SEARCH("a serrar",N56)))</formula>
    </cfRule>
    <cfRule type="containsText" priority="154" operator="containsText" aboveAverage="0" equalAverage="0" bottom="0" percent="0" rank="0" text="pronto" dxfId="2451">
      <formula>NOT(ISERROR(SEARCH("pronto",N56)))</formula>
    </cfRule>
    <cfRule type="containsText" priority="155" operator="containsText" aboveAverage="0" equalAverage="0" bottom="0" percent="0" rank="0" text="empreita" dxfId="2452">
      <formula>NOT(ISERROR(SEARCH("empreita",N56)))</formula>
    </cfRule>
    <cfRule type="containsText" priority="156" operator="containsText" aboveAverage="0" equalAverage="0" bottom="0" percent="0" rank="0" text="previsto" dxfId="2453">
      <formula>NOT(ISERROR(SEARCH("previsto",N56)))</formula>
    </cfRule>
    <cfRule type="containsText" priority="157" operator="containsText" aboveAverage="0" equalAverage="0" bottom="0" percent="0" rank="0" text="produzindo" dxfId="2454">
      <formula>NOT(ISERROR(SEARCH("produzindo",N56)))</formula>
    </cfRule>
    <cfRule type="containsText" priority="158" operator="containsText" aboveAverage="0" equalAverage="0" bottom="0" percent="0" rank="0" text="material ok" dxfId="2455">
      <formula>NOT(ISERROR(SEARCH("material ok",N56)))</formula>
    </cfRule>
    <cfRule type="containsText" priority="159" operator="containsText" aboveAverage="0" equalAverage="0" bottom="0" percent="0" rank="0" text="a montar" dxfId="2456">
      <formula>NOT(ISERROR(SEARCH("a montar",N56)))</formula>
    </cfRule>
    <cfRule type="containsText" priority="160" operator="containsText" aboveAverage="0" equalAverage="0" bottom="0" percent="0" rank="0" text="a serrar" dxfId="2457">
      <formula>NOT(ISERROR(SEARCH("a serrar",N56)))</formula>
    </cfRule>
    <cfRule type="containsText" priority="161" operator="containsText" aboveAverage="0" equalAverage="0" bottom="0" percent="0" rank="0" text="pronto" dxfId="2458">
      <formula>NOT(ISERROR(SEARCH("pronto",N56)))</formula>
    </cfRule>
    <cfRule type="containsText" priority="162" operator="containsText" aboveAverage="0" equalAverage="0" bottom="0" percent="0" rank="0" text="empreita" dxfId="2459">
      <formula>NOT(ISERROR(SEARCH("empreita",N56)))</formula>
    </cfRule>
    <cfRule type="containsText" priority="163" operator="containsText" aboveAverage="0" equalAverage="0" bottom="0" percent="0" rank="0" text="previsto" dxfId="2460">
      <formula>NOT(ISERROR(SEARCH("previsto",N56)))</formula>
    </cfRule>
    <cfRule type="containsText" priority="164" operator="containsText" aboveAverage="0" equalAverage="0" bottom="0" percent="0" rank="0" text="produzindo" dxfId="2461">
      <formula>NOT(ISERROR(SEARCH("produzindo",N56)))</formula>
    </cfRule>
    <cfRule type="containsText" priority="165" operator="containsText" aboveAverage="0" equalAverage="0" bottom="0" percent="0" rank="0" text="material ok" dxfId="2462">
      <formula>NOT(ISERROR(SEARCH("material ok",N56)))</formula>
    </cfRule>
    <cfRule type="containsText" priority="166" operator="containsText" aboveAverage="0" equalAverage="0" bottom="0" percent="0" rank="0" text="a montar" dxfId="2463">
      <formula>NOT(ISERROR(SEARCH("a montar",N56)))</formula>
    </cfRule>
    <cfRule type="containsText" priority="167" operator="containsText" aboveAverage="0" equalAverage="0" bottom="0" percent="0" rank="0" text="a serrar" dxfId="2464">
      <formula>NOT(ISERROR(SEARCH("a serrar",N56)))</formula>
    </cfRule>
    <cfRule type="containsText" priority="168" operator="containsText" aboveAverage="0" equalAverage="0" bottom="0" percent="0" rank="0" text="pronto" dxfId="2465">
      <formula>NOT(ISERROR(SEARCH("pronto",N56)))</formula>
    </cfRule>
    <cfRule type="containsText" priority="169" operator="containsText" aboveAverage="0" equalAverage="0" bottom="0" percent="0" rank="0" text="empreita" dxfId="2466">
      <formula>NOT(ISERROR(SEARCH("empreita",N56)))</formula>
    </cfRule>
    <cfRule type="containsText" priority="170" operator="containsText" aboveAverage="0" equalAverage="0" bottom="0" percent="0" rank="0" text="previsto" dxfId="2467">
      <formula>NOT(ISERROR(SEARCH("previsto",N56)))</formula>
    </cfRule>
    <cfRule type="containsText" priority="171" operator="containsText" aboveAverage="0" equalAverage="0" bottom="0" percent="0" rank="0" text="produzindo" dxfId="2468">
      <formula>NOT(ISERROR(SEARCH("produzindo",N56)))</formula>
    </cfRule>
    <cfRule type="containsText" priority="172" operator="containsText" aboveAverage="0" equalAverage="0" bottom="0" percent="0" rank="0" text="material ok" dxfId="2469">
      <formula>NOT(ISERROR(SEARCH("material ok",N56)))</formula>
    </cfRule>
    <cfRule type="containsText" priority="173" operator="containsText" aboveAverage="0" equalAverage="0" bottom="0" percent="0" rank="0" text="a montar" dxfId="2470">
      <formula>NOT(ISERROR(SEARCH("a montar",N56)))</formula>
    </cfRule>
    <cfRule type="containsText" priority="174" operator="containsText" aboveAverage="0" equalAverage="0" bottom="0" percent="0" rank="0" text="a serrar" dxfId="2471">
      <formula>NOT(ISERROR(SEARCH("a serrar",N56)))</formula>
    </cfRule>
    <cfRule type="containsText" priority="175" operator="containsText" aboveAverage="0" equalAverage="0" bottom="0" percent="0" rank="0" text="pronto" dxfId="2472">
      <formula>NOT(ISERROR(SEARCH("pronto",N56)))</formula>
    </cfRule>
    <cfRule type="containsText" priority="176" operator="containsText" aboveAverage="0" equalAverage="0" bottom="0" percent="0" rank="0" text="empreita" dxfId="2473">
      <formula>NOT(ISERROR(SEARCH("empreita",N56)))</formula>
    </cfRule>
    <cfRule type="containsText" priority="177" operator="containsText" aboveAverage="0" equalAverage="0" bottom="0" percent="0" rank="0" text="previsto" dxfId="2474">
      <formula>NOT(ISERROR(SEARCH("previsto",N56)))</formula>
    </cfRule>
    <cfRule type="containsText" priority="178" operator="containsText" aboveAverage="0" equalAverage="0" bottom="0" percent="0" rank="0" text="produzindo" dxfId="2475">
      <formula>NOT(ISERROR(SEARCH("produzindo",N56)))</formula>
    </cfRule>
    <cfRule type="containsText" priority="179" operator="containsText" aboveAverage="0" equalAverage="0" bottom="0" percent="0" rank="0" text="material ok" dxfId="2476">
      <formula>NOT(ISERROR(SEARCH("material ok",N56)))</formula>
    </cfRule>
  </conditionalFormatting>
  <conditionalFormatting sqref="N56:N58">
    <cfRule type="containsText" priority="180" operator="containsText" aboveAverage="0" equalAverage="0" bottom="0" percent="0" rank="0" text="a montar" dxfId="2477">
      <formula>NOT(ISERROR(SEARCH("a montar",N56)))</formula>
    </cfRule>
    <cfRule type="containsText" priority="181" operator="containsText" aboveAverage="0" equalAverage="0" bottom="0" percent="0" rank="0" text="a serrar" dxfId="2478">
      <formula>NOT(ISERROR(SEARCH("a serrar",N56)))</formula>
    </cfRule>
    <cfRule type="containsText" priority="182" operator="containsText" aboveAverage="0" equalAverage="0" bottom="0" percent="0" rank="0" text="pronto" dxfId="2479">
      <formula>NOT(ISERROR(SEARCH("pronto",N56)))</formula>
    </cfRule>
    <cfRule type="containsText" priority="183" operator="containsText" aboveAverage="0" equalAverage="0" bottom="0" percent="0" rank="0" text="empreita" dxfId="2480">
      <formula>NOT(ISERROR(SEARCH("empreita",N56)))</formula>
    </cfRule>
    <cfRule type="containsText" priority="184" operator="containsText" aboveAverage="0" equalAverage="0" bottom="0" percent="0" rank="0" text="previsto" dxfId="2481">
      <formula>NOT(ISERROR(SEARCH("previsto",N56)))</formula>
    </cfRule>
    <cfRule type="containsText" priority="185" operator="containsText" aboveAverage="0" equalAverage="0" bottom="0" percent="0" rank="0" text="produzindo" dxfId="2482">
      <formula>NOT(ISERROR(SEARCH("produzindo",N56)))</formula>
    </cfRule>
    <cfRule type="containsText" priority="186" operator="containsText" aboveAverage="0" equalAverage="0" bottom="0" percent="0" rank="0" text="material ok" dxfId="2483">
      <formula>NOT(ISERROR(SEARCH("material ok",N56)))</formula>
    </cfRule>
  </conditionalFormatting>
  <conditionalFormatting sqref="N54">
    <cfRule type="containsText" priority="187" operator="containsText" aboveAverage="0" equalAverage="0" bottom="0" percent="0" rank="0" text="a montar" dxfId="2484">
      <formula>NOT(ISERROR(SEARCH("a montar",N54)))</formula>
    </cfRule>
    <cfRule type="containsText" priority="188" operator="containsText" aboveAverage="0" equalAverage="0" bottom="0" percent="0" rank="0" text="a serrar" dxfId="2485">
      <formula>NOT(ISERROR(SEARCH("a serrar",N54)))</formula>
    </cfRule>
    <cfRule type="containsText" priority="189" operator="containsText" aboveAverage="0" equalAverage="0" bottom="0" percent="0" rank="0" text="pronto" dxfId="2486">
      <formula>NOT(ISERROR(SEARCH("pronto",N54)))</formula>
    </cfRule>
    <cfRule type="containsText" priority="190" operator="containsText" aboveAverage="0" equalAverage="0" bottom="0" percent="0" rank="0" text="empreita" dxfId="2487">
      <formula>NOT(ISERROR(SEARCH("empreita",N54)))</formula>
    </cfRule>
    <cfRule type="containsText" priority="191" operator="containsText" aboveAverage="0" equalAverage="0" bottom="0" percent="0" rank="0" text="previsto" dxfId="2488">
      <formula>NOT(ISERROR(SEARCH("previsto",N54)))</formula>
    </cfRule>
    <cfRule type="containsText" priority="192" operator="containsText" aboveAverage="0" equalAverage="0" bottom="0" percent="0" rank="0" text="produzindo" dxfId="2489">
      <formula>NOT(ISERROR(SEARCH("produzindo",N54)))</formula>
    </cfRule>
    <cfRule type="containsText" priority="193" operator="containsText" aboveAverage="0" equalAverage="0" bottom="0" percent="0" rank="0" text="material ok" dxfId="2490">
      <formula>NOT(ISERROR(SEARCH("material ok",N54)))</formula>
    </cfRule>
    <cfRule type="containsText" priority="194" operator="containsText" aboveAverage="0" equalAverage="0" bottom="0" percent="0" rank="0" text="a serrar" dxfId="2491">
      <formula>NOT(ISERROR(SEARCH("a serrar",N54)))</formula>
    </cfRule>
    <cfRule type="containsText" priority="195" operator="containsText" aboveAverage="0" equalAverage="0" bottom="0" percent="0" rank="0" text="pronto" dxfId="2492">
      <formula>NOT(ISERROR(SEARCH("pronto",N54)))</formula>
    </cfRule>
    <cfRule type="containsText" priority="196" operator="containsText" aboveAverage="0" equalAverage="0" bottom="0" percent="0" rank="0" text="empreita" dxfId="2493">
      <formula>NOT(ISERROR(SEARCH("empreita",N54)))</formula>
    </cfRule>
    <cfRule type="containsText" priority="197" operator="containsText" aboveAverage="0" equalAverage="0" bottom="0" percent="0" rank="0" text="previsto" dxfId="2494">
      <formula>NOT(ISERROR(SEARCH("previsto",N54)))</formula>
    </cfRule>
    <cfRule type="containsText" priority="198" operator="containsText" aboveAverage="0" equalAverage="0" bottom="0" percent="0" rank="0" text="produzindo" dxfId="2495">
      <formula>NOT(ISERROR(SEARCH("produzindo",N54)))</formula>
    </cfRule>
    <cfRule type="containsText" priority="199" operator="containsText" aboveAverage="0" equalAverage="0" bottom="0" percent="0" rank="0" text="material ok" dxfId="2496">
      <formula>NOT(ISERROR(SEARCH("material ok",N54)))</formula>
    </cfRule>
    <cfRule type="containsText" priority="200" operator="containsText" aboveAverage="0" equalAverage="0" bottom="0" percent="0" rank="0" text="a montar" dxfId="2497">
      <formula>NOT(ISERROR(SEARCH("a montar",N54)))</formula>
    </cfRule>
    <cfRule type="containsText" priority="201" operator="containsText" aboveAverage="0" equalAverage="0" bottom="0" percent="0" rank="0" text="a serrar" dxfId="2498">
      <formula>NOT(ISERROR(SEARCH("a serrar",N54)))</formula>
    </cfRule>
    <cfRule type="containsText" priority="202" operator="containsText" aboveAverage="0" equalAverage="0" bottom="0" percent="0" rank="0" text="pronto" dxfId="2499">
      <formula>NOT(ISERROR(SEARCH("pronto",N54)))</formula>
    </cfRule>
    <cfRule type="containsText" priority="203" operator="containsText" aboveAverage="0" equalAverage="0" bottom="0" percent="0" rank="0" text="empreita" dxfId="2500">
      <formula>NOT(ISERROR(SEARCH("empreita",N54)))</formula>
    </cfRule>
    <cfRule type="containsText" priority="204" operator="containsText" aboveAverage="0" equalAverage="0" bottom="0" percent="0" rank="0" text="previsto" dxfId="2501">
      <formula>NOT(ISERROR(SEARCH("previsto",N54)))</formula>
    </cfRule>
    <cfRule type="containsText" priority="205" operator="containsText" aboveAverage="0" equalAverage="0" bottom="0" percent="0" rank="0" text="produzindo" dxfId="2502">
      <formula>NOT(ISERROR(SEARCH("produzindo",N54)))</formula>
    </cfRule>
    <cfRule type="containsText" priority="206" operator="containsText" aboveAverage="0" equalAverage="0" bottom="0" percent="0" rank="0" text="material ok" dxfId="2503">
      <formula>NOT(ISERROR(SEARCH("material ok",N54)))</formula>
    </cfRule>
    <cfRule type="containsText" priority="207" operator="containsText" aboveAverage="0" equalAverage="0" bottom="0" percent="0" rank="0" text="a montar" dxfId="2504">
      <formula>NOT(ISERROR(SEARCH("a montar",N54)))</formula>
    </cfRule>
    <cfRule type="containsText" priority="208" operator="containsText" aboveAverage="0" equalAverage="0" bottom="0" percent="0" rank="0" text="a serrar" dxfId="2505">
      <formula>NOT(ISERROR(SEARCH("a serrar",N54)))</formula>
    </cfRule>
    <cfRule type="containsText" priority="209" operator="containsText" aboveAverage="0" equalAverage="0" bottom="0" percent="0" rank="0" text="pronto" dxfId="2506">
      <formula>NOT(ISERROR(SEARCH("pronto",N54)))</formula>
    </cfRule>
    <cfRule type="containsText" priority="210" operator="containsText" aboveAverage="0" equalAverage="0" bottom="0" percent="0" rank="0" text="empreita" dxfId="2507">
      <formula>NOT(ISERROR(SEARCH("empreita",N54)))</formula>
    </cfRule>
    <cfRule type="containsText" priority="211" operator="containsText" aboveAverage="0" equalAverage="0" bottom="0" percent="0" rank="0" text="previsto" dxfId="2508">
      <formula>NOT(ISERROR(SEARCH("previsto",N54)))</formula>
    </cfRule>
    <cfRule type="containsText" priority="212" operator="containsText" aboveAverage="0" equalAverage="0" bottom="0" percent="0" rank="0" text="produzindo" dxfId="2509">
      <formula>NOT(ISERROR(SEARCH("produzindo",N54)))</formula>
    </cfRule>
    <cfRule type="containsText" priority="213" operator="containsText" aboveAverage="0" equalAverage="0" bottom="0" percent="0" rank="0" text="material ok" dxfId="2510">
      <formula>NOT(ISERROR(SEARCH("material ok",N54)))</formula>
    </cfRule>
    <cfRule type="containsText" priority="214" operator="containsText" aboveAverage="0" equalAverage="0" bottom="0" percent="0" rank="0" text="a montar" dxfId="2511">
      <formula>NOT(ISERROR(SEARCH("a montar",N54)))</formula>
    </cfRule>
    <cfRule type="containsText" priority="215" operator="containsText" aboveAverage="0" equalAverage="0" bottom="0" percent="0" rank="0" text="a serrar" dxfId="2512">
      <formula>NOT(ISERROR(SEARCH("a serrar",N54)))</formula>
    </cfRule>
    <cfRule type="containsText" priority="216" operator="containsText" aboveAverage="0" equalAverage="0" bottom="0" percent="0" rank="0" text="pronto" dxfId="2513">
      <formula>NOT(ISERROR(SEARCH("pronto",N54)))</formula>
    </cfRule>
    <cfRule type="containsText" priority="217" operator="containsText" aboveAverage="0" equalAverage="0" bottom="0" percent="0" rank="0" text="empreita" dxfId="2514">
      <formula>NOT(ISERROR(SEARCH("empreita",N54)))</formula>
    </cfRule>
    <cfRule type="containsText" priority="218" operator="containsText" aboveAverage="0" equalAverage="0" bottom="0" percent="0" rank="0" text="previsto" dxfId="2515">
      <formula>NOT(ISERROR(SEARCH("previsto",N54)))</formula>
    </cfRule>
    <cfRule type="containsText" priority="219" operator="containsText" aboveAverage="0" equalAverage="0" bottom="0" percent="0" rank="0" text="produzindo" dxfId="2516">
      <formula>NOT(ISERROR(SEARCH("produzindo",N54)))</formula>
    </cfRule>
    <cfRule type="containsText" priority="220" operator="containsText" aboveAverage="0" equalAverage="0" bottom="0" percent="0" rank="0" text="material ok" dxfId="2517">
      <formula>NOT(ISERROR(SEARCH("material ok",N54)))</formula>
    </cfRule>
    <cfRule type="containsText" priority="221" operator="containsText" aboveAverage="0" equalAverage="0" bottom="0" percent="0" rank="0" text="a montar" dxfId="2518">
      <formula>NOT(ISERROR(SEARCH("a montar",N54)))</formula>
    </cfRule>
    <cfRule type="containsText" priority="222" operator="containsText" aboveAverage="0" equalAverage="0" bottom="0" percent="0" rank="0" text="a serrar" dxfId="2519">
      <formula>NOT(ISERROR(SEARCH("a serrar",N54)))</formula>
    </cfRule>
    <cfRule type="containsText" priority="223" operator="containsText" aboveAverage="0" equalAverage="0" bottom="0" percent="0" rank="0" text="pronto" dxfId="2520">
      <formula>NOT(ISERROR(SEARCH("pronto",N54)))</formula>
    </cfRule>
    <cfRule type="containsText" priority="224" operator="containsText" aboveAverage="0" equalAverage="0" bottom="0" percent="0" rank="0" text="empreita" dxfId="2521">
      <formula>NOT(ISERROR(SEARCH("empreita",N54)))</formula>
    </cfRule>
    <cfRule type="containsText" priority="225" operator="containsText" aboveAverage="0" equalAverage="0" bottom="0" percent="0" rank="0" text="previsto" dxfId="2522">
      <formula>NOT(ISERROR(SEARCH("previsto",N54)))</formula>
    </cfRule>
    <cfRule type="containsText" priority="226" operator="containsText" aboveAverage="0" equalAverage="0" bottom="0" percent="0" rank="0" text="produzindo" dxfId="2523">
      <formula>NOT(ISERROR(SEARCH("produzindo",N54)))</formula>
    </cfRule>
    <cfRule type="containsText" priority="227" operator="containsText" aboveAverage="0" equalAverage="0" bottom="0" percent="0" rank="0" text="material ok" dxfId="2524">
      <formula>NOT(ISERROR(SEARCH("material ok",N54)))</formula>
    </cfRule>
  </conditionalFormatting>
  <conditionalFormatting sqref="N54:N55">
    <cfRule type="containsText" priority="228" operator="containsText" aboveAverage="0" equalAverage="0" bottom="0" percent="0" rank="0" text="a montar" dxfId="2525">
      <formula>NOT(ISERROR(SEARCH("a montar",N54)))</formula>
    </cfRule>
    <cfRule type="containsText" priority="229" operator="containsText" aboveAverage="0" equalAverage="0" bottom="0" percent="0" rank="0" text="a serrar" dxfId="2526">
      <formula>NOT(ISERROR(SEARCH("a serrar",N54)))</formula>
    </cfRule>
    <cfRule type="containsText" priority="230" operator="containsText" aboveAverage="0" equalAverage="0" bottom="0" percent="0" rank="0" text="pronto" dxfId="2527">
      <formula>NOT(ISERROR(SEARCH("pronto",N54)))</formula>
    </cfRule>
    <cfRule type="containsText" priority="231" operator="containsText" aboveAverage="0" equalAverage="0" bottom="0" percent="0" rank="0" text="empreita" dxfId="2528">
      <formula>NOT(ISERROR(SEARCH("empreita",N54)))</formula>
    </cfRule>
    <cfRule type="containsText" priority="232" operator="containsText" aboveAverage="0" equalAverage="0" bottom="0" percent="0" rank="0" text="previsto" dxfId="2529">
      <formula>NOT(ISERROR(SEARCH("previsto",N54)))</formula>
    </cfRule>
    <cfRule type="containsText" priority="233" operator="containsText" aboveAverage="0" equalAverage="0" bottom="0" percent="0" rank="0" text="produzindo" dxfId="2530">
      <formula>NOT(ISERROR(SEARCH("produzindo",N54)))</formula>
    </cfRule>
    <cfRule type="containsText" priority="234" operator="containsText" aboveAverage="0" equalAverage="0" bottom="0" percent="0" rank="0" text="material ok" dxfId="2531">
      <formula>NOT(ISERROR(SEARCH("material ok",N54)))</formula>
    </cfRule>
  </conditionalFormatting>
  <conditionalFormatting sqref="N48:N52">
    <cfRule type="containsText" priority="235" operator="containsText" aboveAverage="0" equalAverage="0" bottom="0" percent="0" rank="0" text="a montar" dxfId="2532">
      <formula>NOT(ISERROR(SEARCH("a montar",N48)))</formula>
    </cfRule>
    <cfRule type="containsText" priority="236" operator="containsText" aboveAverage="0" equalAverage="0" bottom="0" percent="0" rank="0" text="a serrar" dxfId="2533">
      <formula>NOT(ISERROR(SEARCH("a serrar",N48)))</formula>
    </cfRule>
    <cfRule type="containsText" priority="237" operator="containsText" aboveAverage="0" equalAverage="0" bottom="0" percent="0" rank="0" text="pronto" dxfId="2534">
      <formula>NOT(ISERROR(SEARCH("pronto",N48)))</formula>
    </cfRule>
    <cfRule type="containsText" priority="238" operator="containsText" aboveAverage="0" equalAverage="0" bottom="0" percent="0" rank="0" text="empreita" dxfId="2535">
      <formula>NOT(ISERROR(SEARCH("empreita",N48)))</formula>
    </cfRule>
    <cfRule type="containsText" priority="239" operator="containsText" aboveAverage="0" equalAverage="0" bottom="0" percent="0" rank="0" text="previsto" dxfId="2536">
      <formula>NOT(ISERROR(SEARCH("previsto",N48)))</formula>
    </cfRule>
    <cfRule type="containsText" priority="240" operator="containsText" aboveAverage="0" equalAverage="0" bottom="0" percent="0" rank="0" text="produzindo" dxfId="2537">
      <formula>NOT(ISERROR(SEARCH("produzindo",N48)))</formula>
    </cfRule>
    <cfRule type="containsText" priority="241" operator="containsText" aboveAverage="0" equalAverage="0" bottom="0" percent="0" rank="0" text="material ok" dxfId="2538">
      <formula>NOT(ISERROR(SEARCH("material ok",N48)))</formula>
    </cfRule>
    <cfRule type="containsText" priority="242" operator="containsText" aboveAverage="0" equalAverage="0" bottom="0" percent="0" rank="0" text="a serrar" dxfId="2539">
      <formula>NOT(ISERROR(SEARCH("a serrar",N48)))</formula>
    </cfRule>
    <cfRule type="containsText" priority="243" operator="containsText" aboveAverage="0" equalAverage="0" bottom="0" percent="0" rank="0" text="pronto" dxfId="2540">
      <formula>NOT(ISERROR(SEARCH("pronto",N48)))</formula>
    </cfRule>
    <cfRule type="containsText" priority="244" operator="containsText" aboveAverage="0" equalAverage="0" bottom="0" percent="0" rank="0" text="empreita" dxfId="2541">
      <formula>NOT(ISERROR(SEARCH("empreita",N48)))</formula>
    </cfRule>
    <cfRule type="containsText" priority="245" operator="containsText" aboveAverage="0" equalAverage="0" bottom="0" percent="0" rank="0" text="previsto" dxfId="2542">
      <formula>NOT(ISERROR(SEARCH("previsto",N48)))</formula>
    </cfRule>
    <cfRule type="containsText" priority="246" operator="containsText" aboveAverage="0" equalAverage="0" bottom="0" percent="0" rank="0" text="produzindo" dxfId="2543">
      <formula>NOT(ISERROR(SEARCH("produzindo",N48)))</formula>
    </cfRule>
    <cfRule type="containsText" priority="247" operator="containsText" aboveAverage="0" equalAverage="0" bottom="0" percent="0" rank="0" text="material ok" dxfId="2544">
      <formula>NOT(ISERROR(SEARCH("material ok",N48)))</formula>
    </cfRule>
    <cfRule type="containsText" priority="248" operator="containsText" aboveAverage="0" equalAverage="0" bottom="0" percent="0" rank="0" text="a montar" dxfId="2545">
      <formula>NOT(ISERROR(SEARCH("a montar",N48)))</formula>
    </cfRule>
    <cfRule type="containsText" priority="249" operator="containsText" aboveAverage="0" equalAverage="0" bottom="0" percent="0" rank="0" text="a serrar" dxfId="2546">
      <formula>NOT(ISERROR(SEARCH("a serrar",N48)))</formula>
    </cfRule>
    <cfRule type="containsText" priority="250" operator="containsText" aboveAverage="0" equalAverage="0" bottom="0" percent="0" rank="0" text="pronto" dxfId="2547">
      <formula>NOT(ISERROR(SEARCH("pronto",N48)))</formula>
    </cfRule>
    <cfRule type="containsText" priority="251" operator="containsText" aboveAverage="0" equalAverage="0" bottom="0" percent="0" rank="0" text="empreita" dxfId="2548">
      <formula>NOT(ISERROR(SEARCH("empreita",N48)))</formula>
    </cfRule>
    <cfRule type="containsText" priority="252" operator="containsText" aboveAverage="0" equalAverage="0" bottom="0" percent="0" rank="0" text="previsto" dxfId="2549">
      <formula>NOT(ISERROR(SEARCH("previsto",N48)))</formula>
    </cfRule>
    <cfRule type="containsText" priority="253" operator="containsText" aboveAverage="0" equalAverage="0" bottom="0" percent="0" rank="0" text="produzindo" dxfId="2550">
      <formula>NOT(ISERROR(SEARCH("produzindo",N48)))</formula>
    </cfRule>
    <cfRule type="containsText" priority="254" operator="containsText" aboveAverage="0" equalAverage="0" bottom="0" percent="0" rank="0" text="material ok" dxfId="2551">
      <formula>NOT(ISERROR(SEARCH("material ok",N48)))</formula>
    </cfRule>
    <cfRule type="containsText" priority="255" operator="containsText" aboveAverage="0" equalAverage="0" bottom="0" percent="0" rank="0" text="a montar" dxfId="2552">
      <formula>NOT(ISERROR(SEARCH("a montar",N48)))</formula>
    </cfRule>
    <cfRule type="containsText" priority="256" operator="containsText" aboveAverage="0" equalAverage="0" bottom="0" percent="0" rank="0" text="a serrar" dxfId="2553">
      <formula>NOT(ISERROR(SEARCH("a serrar",N48)))</formula>
    </cfRule>
    <cfRule type="containsText" priority="257" operator="containsText" aboveAverage="0" equalAverage="0" bottom="0" percent="0" rank="0" text="pronto" dxfId="2554">
      <formula>NOT(ISERROR(SEARCH("pronto",N48)))</formula>
    </cfRule>
    <cfRule type="containsText" priority="258" operator="containsText" aboveAverage="0" equalAverage="0" bottom="0" percent="0" rank="0" text="empreita" dxfId="2555">
      <formula>NOT(ISERROR(SEARCH("empreita",N48)))</formula>
    </cfRule>
    <cfRule type="containsText" priority="259" operator="containsText" aboveAverage="0" equalAverage="0" bottom="0" percent="0" rank="0" text="previsto" dxfId="2556">
      <formula>NOT(ISERROR(SEARCH("previsto",N48)))</formula>
    </cfRule>
    <cfRule type="containsText" priority="260" operator="containsText" aboveAverage="0" equalAverage="0" bottom="0" percent="0" rank="0" text="produzindo" dxfId="2557">
      <formula>NOT(ISERROR(SEARCH("produzindo",N48)))</formula>
    </cfRule>
    <cfRule type="containsText" priority="261" operator="containsText" aboveAverage="0" equalAverage="0" bottom="0" percent="0" rank="0" text="material ok" dxfId="2558">
      <formula>NOT(ISERROR(SEARCH("material ok",N48)))</formula>
    </cfRule>
    <cfRule type="containsText" priority="262" operator="containsText" aboveAverage="0" equalAverage="0" bottom="0" percent="0" rank="0" text="a montar" dxfId="2559">
      <formula>NOT(ISERROR(SEARCH("a montar",N48)))</formula>
    </cfRule>
    <cfRule type="containsText" priority="263" operator="containsText" aboveAverage="0" equalAverage="0" bottom="0" percent="0" rank="0" text="a serrar" dxfId="2560">
      <formula>NOT(ISERROR(SEARCH("a serrar",N48)))</formula>
    </cfRule>
    <cfRule type="containsText" priority="264" operator="containsText" aboveAverage="0" equalAverage="0" bottom="0" percent="0" rank="0" text="pronto" dxfId="2561">
      <formula>NOT(ISERROR(SEARCH("pronto",N48)))</formula>
    </cfRule>
    <cfRule type="containsText" priority="265" operator="containsText" aboveAverage="0" equalAverage="0" bottom="0" percent="0" rank="0" text="empreita" dxfId="2562">
      <formula>NOT(ISERROR(SEARCH("empreita",N48)))</formula>
    </cfRule>
    <cfRule type="containsText" priority="266" operator="containsText" aboveAverage="0" equalAverage="0" bottom="0" percent="0" rank="0" text="previsto" dxfId="2563">
      <formula>NOT(ISERROR(SEARCH("previsto",N48)))</formula>
    </cfRule>
    <cfRule type="containsText" priority="267" operator="containsText" aboveAverage="0" equalAverage="0" bottom="0" percent="0" rank="0" text="produzindo" dxfId="2564">
      <formula>NOT(ISERROR(SEARCH("produzindo",N48)))</formula>
    </cfRule>
    <cfRule type="containsText" priority="268" operator="containsText" aboveAverage="0" equalAverage="0" bottom="0" percent="0" rank="0" text="material ok" dxfId="2565">
      <formula>NOT(ISERROR(SEARCH("material ok",N48)))</formula>
    </cfRule>
    <cfRule type="containsText" priority="269" operator="containsText" aboveAverage="0" equalAverage="0" bottom="0" percent="0" rank="0" text="a montar" dxfId="2566">
      <formula>NOT(ISERROR(SEARCH("a montar",N48)))</formula>
    </cfRule>
    <cfRule type="containsText" priority="270" operator="containsText" aboveAverage="0" equalAverage="0" bottom="0" percent="0" rank="0" text="a serrar" dxfId="2567">
      <formula>NOT(ISERROR(SEARCH("a serrar",N48)))</formula>
    </cfRule>
    <cfRule type="containsText" priority="271" operator="containsText" aboveAverage="0" equalAverage="0" bottom="0" percent="0" rank="0" text="pronto" dxfId="2568">
      <formula>NOT(ISERROR(SEARCH("pronto",N48)))</formula>
    </cfRule>
    <cfRule type="containsText" priority="272" operator="containsText" aboveAverage="0" equalAverage="0" bottom="0" percent="0" rank="0" text="empreita" dxfId="2569">
      <formula>NOT(ISERROR(SEARCH("empreita",N48)))</formula>
    </cfRule>
    <cfRule type="containsText" priority="273" operator="containsText" aboveAverage="0" equalAverage="0" bottom="0" percent="0" rank="0" text="previsto" dxfId="2570">
      <formula>NOT(ISERROR(SEARCH("previsto",N48)))</formula>
    </cfRule>
    <cfRule type="containsText" priority="274" operator="containsText" aboveAverage="0" equalAverage="0" bottom="0" percent="0" rank="0" text="produzindo" dxfId="2571">
      <formula>NOT(ISERROR(SEARCH("produzindo",N48)))</formula>
    </cfRule>
    <cfRule type="containsText" priority="275" operator="containsText" aboveAverage="0" equalAverage="0" bottom="0" percent="0" rank="0" text="material ok" dxfId="2572">
      <formula>NOT(ISERROR(SEARCH("material ok",N48)))</formula>
    </cfRule>
  </conditionalFormatting>
  <conditionalFormatting sqref="N47:N52">
    <cfRule type="containsText" priority="276" operator="containsText" aboveAverage="0" equalAverage="0" bottom="0" percent="0" rank="0" text="a montar" dxfId="2573">
      <formula>NOT(ISERROR(SEARCH("a montar",N47)))</formula>
    </cfRule>
    <cfRule type="containsText" priority="277" operator="containsText" aboveAverage="0" equalAverage="0" bottom="0" percent="0" rank="0" text="a serrar" dxfId="2574">
      <formula>NOT(ISERROR(SEARCH("a serrar",N47)))</formula>
    </cfRule>
    <cfRule type="containsText" priority="278" operator="containsText" aboveAverage="0" equalAverage="0" bottom="0" percent="0" rank="0" text="pronto" dxfId="2575">
      <formula>NOT(ISERROR(SEARCH("pronto",N47)))</formula>
    </cfRule>
    <cfRule type="containsText" priority="279" operator="containsText" aboveAverage="0" equalAverage="0" bottom="0" percent="0" rank="0" text="empreita" dxfId="2576">
      <formula>NOT(ISERROR(SEARCH("empreita",N47)))</formula>
    </cfRule>
    <cfRule type="containsText" priority="280" operator="containsText" aboveAverage="0" equalAverage="0" bottom="0" percent="0" rank="0" text="previsto" dxfId="2577">
      <formula>NOT(ISERROR(SEARCH("previsto",N47)))</formula>
    </cfRule>
    <cfRule type="containsText" priority="281" operator="containsText" aboveAverage="0" equalAverage="0" bottom="0" percent="0" rank="0" text="produzindo" dxfId="2578">
      <formula>NOT(ISERROR(SEARCH("produzindo",N47)))</formula>
    </cfRule>
    <cfRule type="containsText" priority="282" operator="containsText" aboveAverage="0" equalAverage="0" bottom="0" percent="0" rank="0" text="material ok" dxfId="2579">
      <formula>NOT(ISERROR(SEARCH("material ok",N47)))</formula>
    </cfRule>
  </conditionalFormatting>
  <conditionalFormatting sqref="N45">
    <cfRule type="containsText" priority="283" operator="containsText" aboveAverage="0" equalAverage="0" bottom="0" percent="0" rank="0" text="a montar" dxfId="2580">
      <formula>NOT(ISERROR(SEARCH("a montar",N45)))</formula>
    </cfRule>
    <cfRule type="containsText" priority="284" operator="containsText" aboveAverage="0" equalAverage="0" bottom="0" percent="0" rank="0" text="a serrar" dxfId="2581">
      <formula>NOT(ISERROR(SEARCH("a serrar",N45)))</formula>
    </cfRule>
    <cfRule type="containsText" priority="285" operator="containsText" aboveAverage="0" equalAverage="0" bottom="0" percent="0" rank="0" text="pronto" dxfId="2582">
      <formula>NOT(ISERROR(SEARCH("pronto",N45)))</formula>
    </cfRule>
    <cfRule type="containsText" priority="286" operator="containsText" aboveAverage="0" equalAverage="0" bottom="0" percent="0" rank="0" text="empreita" dxfId="2583">
      <formula>NOT(ISERROR(SEARCH("empreita",N45)))</formula>
    </cfRule>
    <cfRule type="containsText" priority="287" operator="containsText" aboveAverage="0" equalAverage="0" bottom="0" percent="0" rank="0" text="previsto" dxfId="2584">
      <formula>NOT(ISERROR(SEARCH("previsto",N45)))</formula>
    </cfRule>
    <cfRule type="containsText" priority="288" operator="containsText" aboveAverage="0" equalAverage="0" bottom="0" percent="0" rank="0" text="produzindo" dxfId="2585">
      <formula>NOT(ISERROR(SEARCH("produzindo",N45)))</formula>
    </cfRule>
    <cfRule type="containsText" priority="289" operator="containsText" aboveAverage="0" equalAverage="0" bottom="0" percent="0" rank="0" text="material ok" dxfId="2586">
      <formula>NOT(ISERROR(SEARCH("material ok",N45)))</formula>
    </cfRule>
    <cfRule type="containsText" priority="290" operator="containsText" aboveAverage="0" equalAverage="0" bottom="0" percent="0" rank="0" text="a serrar" dxfId="2587">
      <formula>NOT(ISERROR(SEARCH("a serrar",N45)))</formula>
    </cfRule>
    <cfRule type="containsText" priority="291" operator="containsText" aboveAverage="0" equalAverage="0" bottom="0" percent="0" rank="0" text="pronto" dxfId="2588">
      <formula>NOT(ISERROR(SEARCH("pronto",N45)))</formula>
    </cfRule>
    <cfRule type="containsText" priority="292" operator="containsText" aboveAverage="0" equalAverage="0" bottom="0" percent="0" rank="0" text="empreita" dxfId="2589">
      <formula>NOT(ISERROR(SEARCH("empreita",N45)))</formula>
    </cfRule>
    <cfRule type="containsText" priority="293" operator="containsText" aboveAverage="0" equalAverage="0" bottom="0" percent="0" rank="0" text="previsto" dxfId="2590">
      <formula>NOT(ISERROR(SEARCH("previsto",N45)))</formula>
    </cfRule>
    <cfRule type="containsText" priority="294" operator="containsText" aboveAverage="0" equalAverage="0" bottom="0" percent="0" rank="0" text="produzindo" dxfId="2591">
      <formula>NOT(ISERROR(SEARCH("produzindo",N45)))</formula>
    </cfRule>
    <cfRule type="containsText" priority="295" operator="containsText" aboveAverage="0" equalAverage="0" bottom="0" percent="0" rank="0" text="material ok" dxfId="2592">
      <formula>NOT(ISERROR(SEARCH("material ok",N45)))</formula>
    </cfRule>
    <cfRule type="containsText" priority="296" operator="containsText" aboveAverage="0" equalAverage="0" bottom="0" percent="0" rank="0" text="a montar" dxfId="2593">
      <formula>NOT(ISERROR(SEARCH("a montar",N45)))</formula>
    </cfRule>
    <cfRule type="containsText" priority="297" operator="containsText" aboveAverage="0" equalAverage="0" bottom="0" percent="0" rank="0" text="a serrar" dxfId="2594">
      <formula>NOT(ISERROR(SEARCH("a serrar",N45)))</formula>
    </cfRule>
    <cfRule type="containsText" priority="298" operator="containsText" aboveAverage="0" equalAverage="0" bottom="0" percent="0" rank="0" text="pronto" dxfId="2595">
      <formula>NOT(ISERROR(SEARCH("pronto",N45)))</formula>
    </cfRule>
    <cfRule type="containsText" priority="299" operator="containsText" aboveAverage="0" equalAverage="0" bottom="0" percent="0" rank="0" text="empreita" dxfId="2596">
      <formula>NOT(ISERROR(SEARCH("empreita",N45)))</formula>
    </cfRule>
    <cfRule type="containsText" priority="300" operator="containsText" aboveAverage="0" equalAverage="0" bottom="0" percent="0" rank="0" text="previsto" dxfId="2597">
      <formula>NOT(ISERROR(SEARCH("previsto",N45)))</formula>
    </cfRule>
    <cfRule type="containsText" priority="301" operator="containsText" aboveAverage="0" equalAverage="0" bottom="0" percent="0" rank="0" text="produzindo" dxfId="2598">
      <formula>NOT(ISERROR(SEARCH("produzindo",N45)))</formula>
    </cfRule>
    <cfRule type="containsText" priority="302" operator="containsText" aboveAverage="0" equalAverage="0" bottom="0" percent="0" rank="0" text="material ok" dxfId="2599">
      <formula>NOT(ISERROR(SEARCH("material ok",N45)))</formula>
    </cfRule>
    <cfRule type="containsText" priority="303" operator="containsText" aboveAverage="0" equalAverage="0" bottom="0" percent="0" rank="0" text="a montar" dxfId="2600">
      <formula>NOT(ISERROR(SEARCH("a montar",N45)))</formula>
    </cfRule>
    <cfRule type="containsText" priority="304" operator="containsText" aboveAverage="0" equalAverage="0" bottom="0" percent="0" rank="0" text="a serrar" dxfId="2601">
      <formula>NOT(ISERROR(SEARCH("a serrar",N45)))</formula>
    </cfRule>
    <cfRule type="containsText" priority="305" operator="containsText" aboveAverage="0" equalAverage="0" bottom="0" percent="0" rank="0" text="pronto" dxfId="2602">
      <formula>NOT(ISERROR(SEARCH("pronto",N45)))</formula>
    </cfRule>
    <cfRule type="containsText" priority="306" operator="containsText" aboveAverage="0" equalAverage="0" bottom="0" percent="0" rank="0" text="empreita" dxfId="2603">
      <formula>NOT(ISERROR(SEARCH("empreita",N45)))</formula>
    </cfRule>
    <cfRule type="containsText" priority="307" operator="containsText" aboveAverage="0" equalAverage="0" bottom="0" percent="0" rank="0" text="previsto" dxfId="2604">
      <formula>NOT(ISERROR(SEARCH("previsto",N45)))</formula>
    </cfRule>
    <cfRule type="containsText" priority="308" operator="containsText" aboveAverage="0" equalAverage="0" bottom="0" percent="0" rank="0" text="produzindo" dxfId="2605">
      <formula>NOT(ISERROR(SEARCH("produzindo",N45)))</formula>
    </cfRule>
    <cfRule type="containsText" priority="309" operator="containsText" aboveAverage="0" equalAverage="0" bottom="0" percent="0" rank="0" text="material ok" dxfId="2606">
      <formula>NOT(ISERROR(SEARCH("material ok",N45)))</formula>
    </cfRule>
    <cfRule type="containsText" priority="310" operator="containsText" aboveAverage="0" equalAverage="0" bottom="0" percent="0" rank="0" text="a montar" dxfId="2607">
      <formula>NOT(ISERROR(SEARCH("a montar",N45)))</formula>
    </cfRule>
    <cfRule type="containsText" priority="311" operator="containsText" aboveAverage="0" equalAverage="0" bottom="0" percent="0" rank="0" text="a serrar" dxfId="2608">
      <formula>NOT(ISERROR(SEARCH("a serrar",N45)))</formula>
    </cfRule>
    <cfRule type="containsText" priority="312" operator="containsText" aboveAverage="0" equalAverage="0" bottom="0" percent="0" rank="0" text="pronto" dxfId="2609">
      <formula>NOT(ISERROR(SEARCH("pronto",N45)))</formula>
    </cfRule>
    <cfRule type="containsText" priority="313" operator="containsText" aboveAverage="0" equalAverage="0" bottom="0" percent="0" rank="0" text="empreita" dxfId="2610">
      <formula>NOT(ISERROR(SEARCH("empreita",N45)))</formula>
    </cfRule>
    <cfRule type="containsText" priority="314" operator="containsText" aboveAverage="0" equalAverage="0" bottom="0" percent="0" rank="0" text="previsto" dxfId="2611">
      <formula>NOT(ISERROR(SEARCH("previsto",N45)))</formula>
    </cfRule>
    <cfRule type="containsText" priority="315" operator="containsText" aboveAverage="0" equalAverage="0" bottom="0" percent="0" rank="0" text="produzindo" dxfId="2612">
      <formula>NOT(ISERROR(SEARCH("produzindo",N45)))</formula>
    </cfRule>
    <cfRule type="containsText" priority="316" operator="containsText" aboveAverage="0" equalAverage="0" bottom="0" percent="0" rank="0" text="material ok" dxfId="2613">
      <formula>NOT(ISERROR(SEARCH("material ok",N45)))</formula>
    </cfRule>
    <cfRule type="containsText" priority="317" operator="containsText" aboveAverage="0" equalAverage="0" bottom="0" percent="0" rank="0" text="a montar" dxfId="2614">
      <formula>NOT(ISERROR(SEARCH("a montar",N45)))</formula>
    </cfRule>
    <cfRule type="containsText" priority="318" operator="containsText" aboveAverage="0" equalAverage="0" bottom="0" percent="0" rank="0" text="a serrar" dxfId="2615">
      <formula>NOT(ISERROR(SEARCH("a serrar",N45)))</formula>
    </cfRule>
    <cfRule type="containsText" priority="319" operator="containsText" aboveAverage="0" equalAverage="0" bottom="0" percent="0" rank="0" text="pronto" dxfId="2616">
      <formula>NOT(ISERROR(SEARCH("pronto",N45)))</formula>
    </cfRule>
    <cfRule type="containsText" priority="320" operator="containsText" aboveAverage="0" equalAverage="0" bottom="0" percent="0" rank="0" text="empreita" dxfId="2617">
      <formula>NOT(ISERROR(SEARCH("empreita",N45)))</formula>
    </cfRule>
    <cfRule type="containsText" priority="321" operator="containsText" aboveAverage="0" equalAverage="0" bottom="0" percent="0" rank="0" text="previsto" dxfId="2618">
      <formula>NOT(ISERROR(SEARCH("previsto",N45)))</formula>
    </cfRule>
    <cfRule type="containsText" priority="322" operator="containsText" aboveAverage="0" equalAverage="0" bottom="0" percent="0" rank="0" text="produzindo" dxfId="2619">
      <formula>NOT(ISERROR(SEARCH("produzindo",N45)))</formula>
    </cfRule>
    <cfRule type="containsText" priority="323" operator="containsText" aboveAverage="0" equalAverage="0" bottom="0" percent="0" rank="0" text="material ok" dxfId="2620">
      <formula>NOT(ISERROR(SEARCH("material ok",N45)))</formula>
    </cfRule>
    <cfRule type="containsText" priority="324" operator="containsText" aboveAverage="0" equalAverage="0" bottom="0" percent="0" rank="0" text="a montar" dxfId="2621">
      <formula>NOT(ISERROR(SEARCH("a montar",N45)))</formula>
    </cfRule>
    <cfRule type="containsText" priority="325" operator="containsText" aboveAverage="0" equalAverage="0" bottom="0" percent="0" rank="0" text="a serrar" dxfId="2622">
      <formula>NOT(ISERROR(SEARCH("a serrar",N45)))</formula>
    </cfRule>
    <cfRule type="containsText" priority="326" operator="containsText" aboveAverage="0" equalAverage="0" bottom="0" percent="0" rank="0" text="pronto" dxfId="2623">
      <formula>NOT(ISERROR(SEARCH("pronto",N45)))</formula>
    </cfRule>
    <cfRule type="containsText" priority="327" operator="containsText" aboveAverage="0" equalAverage="0" bottom="0" percent="0" rank="0" text="empreita" dxfId="2624">
      <formula>NOT(ISERROR(SEARCH("empreita",N45)))</formula>
    </cfRule>
    <cfRule type="containsText" priority="328" operator="containsText" aboveAverage="0" equalAverage="0" bottom="0" percent="0" rank="0" text="previsto" dxfId="2625">
      <formula>NOT(ISERROR(SEARCH("previsto",N45)))</formula>
    </cfRule>
    <cfRule type="containsText" priority="329" operator="containsText" aboveAverage="0" equalAverage="0" bottom="0" percent="0" rank="0" text="produzindo" dxfId="2626">
      <formula>NOT(ISERROR(SEARCH("produzindo",N45)))</formula>
    </cfRule>
    <cfRule type="containsText" priority="330" operator="containsText" aboveAverage="0" equalAverage="0" bottom="0" percent="0" rank="0" text="material ok" dxfId="2627">
      <formula>NOT(ISERROR(SEARCH("material ok",N45)))</formula>
    </cfRule>
  </conditionalFormatting>
  <conditionalFormatting sqref="N39 N41 N43">
    <cfRule type="containsText" priority="331" operator="containsText" aboveAverage="0" equalAverage="0" bottom="0" percent="0" rank="0" text="a montar" dxfId="2628">
      <formula>NOT(ISERROR(SEARCH("a montar",N39)))</formula>
    </cfRule>
    <cfRule type="containsText" priority="332" operator="containsText" aboveAverage="0" equalAverage="0" bottom="0" percent="0" rank="0" text="a serrar" dxfId="2629">
      <formula>NOT(ISERROR(SEARCH("a serrar",N39)))</formula>
    </cfRule>
    <cfRule type="containsText" priority="333" operator="containsText" aboveAverage="0" equalAverage="0" bottom="0" percent="0" rank="0" text="pronto" dxfId="2630">
      <formula>NOT(ISERROR(SEARCH("pronto",N39)))</formula>
    </cfRule>
    <cfRule type="containsText" priority="334" operator="containsText" aboveAverage="0" equalAverage="0" bottom="0" percent="0" rank="0" text="empreita" dxfId="2631">
      <formula>NOT(ISERROR(SEARCH("empreita",N39)))</formula>
    </cfRule>
    <cfRule type="containsText" priority="335" operator="containsText" aboveAverage="0" equalAverage="0" bottom="0" percent="0" rank="0" text="previsto" dxfId="2632">
      <formula>NOT(ISERROR(SEARCH("previsto",N39)))</formula>
    </cfRule>
    <cfRule type="containsText" priority="336" operator="containsText" aboveAverage="0" equalAverage="0" bottom="0" percent="0" rank="0" text="produzindo" dxfId="2633">
      <formula>NOT(ISERROR(SEARCH("produzindo",N39)))</formula>
    </cfRule>
    <cfRule type="containsText" priority="337" operator="containsText" aboveAverage="0" equalAverage="0" bottom="0" percent="0" rank="0" text="material ok" dxfId="2634">
      <formula>NOT(ISERROR(SEARCH("material ok",N39)))</formula>
    </cfRule>
    <cfRule type="containsText" priority="338" operator="containsText" aboveAverage="0" equalAverage="0" bottom="0" percent="0" rank="0" text="a serrar" dxfId="2635">
      <formula>NOT(ISERROR(SEARCH("a serrar",N39)))</formula>
    </cfRule>
    <cfRule type="containsText" priority="339" operator="containsText" aboveAverage="0" equalAverage="0" bottom="0" percent="0" rank="0" text="pronto" dxfId="2636">
      <formula>NOT(ISERROR(SEARCH("pronto",N39)))</formula>
    </cfRule>
    <cfRule type="containsText" priority="340" operator="containsText" aboveAverage="0" equalAverage="0" bottom="0" percent="0" rank="0" text="empreita" dxfId="2637">
      <formula>NOT(ISERROR(SEARCH("empreita",N39)))</formula>
    </cfRule>
    <cfRule type="containsText" priority="341" operator="containsText" aboveAverage="0" equalAverage="0" bottom="0" percent="0" rank="0" text="previsto" dxfId="2638">
      <formula>NOT(ISERROR(SEARCH("previsto",N39)))</formula>
    </cfRule>
    <cfRule type="containsText" priority="342" operator="containsText" aboveAverage="0" equalAverage="0" bottom="0" percent="0" rank="0" text="produzindo" dxfId="2639">
      <formula>NOT(ISERROR(SEARCH("produzindo",N39)))</formula>
    </cfRule>
    <cfRule type="containsText" priority="343" operator="containsText" aboveAverage="0" equalAverage="0" bottom="0" percent="0" rank="0" text="material ok" dxfId="2640">
      <formula>NOT(ISERROR(SEARCH("material ok",N39)))</formula>
    </cfRule>
  </conditionalFormatting>
  <conditionalFormatting sqref="N38:N43">
    <cfRule type="containsText" priority="344" operator="containsText" aboveAverage="0" equalAverage="0" bottom="0" percent="0" rank="0" text="a montar" dxfId="2641">
      <formula>NOT(ISERROR(SEARCH("a montar",N38)))</formula>
    </cfRule>
    <cfRule type="containsText" priority="345" operator="containsText" aboveAverage="0" equalAverage="0" bottom="0" percent="0" rank="0" text="a serrar" dxfId="2642">
      <formula>NOT(ISERROR(SEARCH("a serrar",N38)))</formula>
    </cfRule>
    <cfRule type="containsText" priority="346" operator="containsText" aboveAverage="0" equalAverage="0" bottom="0" percent="0" rank="0" text="pronto" dxfId="2643">
      <formula>NOT(ISERROR(SEARCH("pronto",N38)))</formula>
    </cfRule>
    <cfRule type="containsText" priority="347" operator="containsText" aboveAverage="0" equalAverage="0" bottom="0" percent="0" rank="0" text="empreita" dxfId="2644">
      <formula>NOT(ISERROR(SEARCH("empreita",N38)))</formula>
    </cfRule>
    <cfRule type="containsText" priority="348" operator="containsText" aboveAverage="0" equalAverage="0" bottom="0" percent="0" rank="0" text="previsto" dxfId="2645">
      <formula>NOT(ISERROR(SEARCH("previsto",N38)))</formula>
    </cfRule>
    <cfRule type="containsText" priority="349" operator="containsText" aboveAverage="0" equalAverage="0" bottom="0" percent="0" rank="0" text="produzindo" dxfId="2646">
      <formula>NOT(ISERROR(SEARCH("produzindo",N38)))</formula>
    </cfRule>
    <cfRule type="containsText" priority="350" operator="containsText" aboveAverage="0" equalAverage="0" bottom="0" percent="0" rank="0" text="material ok" dxfId="2647">
      <formula>NOT(ISERROR(SEARCH("material ok",N38)))</formula>
    </cfRule>
    <cfRule type="containsText" priority="351" operator="containsText" aboveAverage="0" equalAverage="0" bottom="0" percent="0" rank="0" text="a montar" dxfId="2648">
      <formula>NOT(ISERROR(SEARCH("a montar",N38)))</formula>
    </cfRule>
    <cfRule type="containsText" priority="352" operator="containsText" aboveAverage="0" equalAverage="0" bottom="0" percent="0" rank="0" text="a serrar" dxfId="2649">
      <formula>NOT(ISERROR(SEARCH("a serrar",N38)))</formula>
    </cfRule>
    <cfRule type="containsText" priority="353" operator="containsText" aboveAverage="0" equalAverage="0" bottom="0" percent="0" rank="0" text="pronto" dxfId="2650">
      <formula>NOT(ISERROR(SEARCH("pronto",N38)))</formula>
    </cfRule>
    <cfRule type="containsText" priority="354" operator="containsText" aboveAverage="0" equalAverage="0" bottom="0" percent="0" rank="0" text="empreita" dxfId="2651">
      <formula>NOT(ISERROR(SEARCH("empreita",N38)))</formula>
    </cfRule>
    <cfRule type="containsText" priority="355" operator="containsText" aboveAverage="0" equalAverage="0" bottom="0" percent="0" rank="0" text="previsto" dxfId="2652">
      <formula>NOT(ISERROR(SEARCH("previsto",N38)))</formula>
    </cfRule>
    <cfRule type="containsText" priority="356" operator="containsText" aboveAverage="0" equalAverage="0" bottom="0" percent="0" rank="0" text="produzindo" dxfId="2653">
      <formula>NOT(ISERROR(SEARCH("produzindo",N38)))</formula>
    </cfRule>
    <cfRule type="containsText" priority="357" operator="containsText" aboveAverage="0" equalAverage="0" bottom="0" percent="0" rank="0" text="material ok" dxfId="2654">
      <formula>NOT(ISERROR(SEARCH("material ok",N38)))</formula>
    </cfRule>
  </conditionalFormatting>
  <conditionalFormatting sqref="N38 N40 N42">
    <cfRule type="containsText" priority="358" operator="containsText" aboveAverage="0" equalAverage="0" bottom="0" percent="0" rank="0" text="a serrar" dxfId="2655">
      <formula>NOT(ISERROR(SEARCH("a serrar",N38)))</formula>
    </cfRule>
    <cfRule type="containsText" priority="359" operator="containsText" aboveAverage="0" equalAverage="0" bottom="0" percent="0" rank="0" text="pronto" dxfId="2656">
      <formula>NOT(ISERROR(SEARCH("pronto",N38)))</formula>
    </cfRule>
    <cfRule type="containsText" priority="360" operator="containsText" aboveAverage="0" equalAverage="0" bottom="0" percent="0" rank="0" text="empreita" dxfId="2657">
      <formula>NOT(ISERROR(SEARCH("empreita",N38)))</formula>
    </cfRule>
    <cfRule type="containsText" priority="361" operator="containsText" aboveAverage="0" equalAverage="0" bottom="0" percent="0" rank="0" text="previsto" dxfId="2658">
      <formula>NOT(ISERROR(SEARCH("previsto",N38)))</formula>
    </cfRule>
    <cfRule type="containsText" priority="362" operator="containsText" aboveAverage="0" equalAverage="0" bottom="0" percent="0" rank="0" text="produzindo" dxfId="2659">
      <formula>NOT(ISERROR(SEARCH("produzindo",N38)))</formula>
    </cfRule>
    <cfRule type="containsText" priority="363" operator="containsText" aboveAverage="0" equalAverage="0" bottom="0" percent="0" rank="0" text="material ok" dxfId="2660">
      <formula>NOT(ISERROR(SEARCH("material ok",N38)))</formula>
    </cfRule>
    <cfRule type="containsText" priority="364" operator="containsText" aboveAverage="0" equalAverage="0" bottom="0" percent="0" rank="0" text="a montar" dxfId="2661">
      <formula>NOT(ISERROR(SEARCH("a montar",N38)))</formula>
    </cfRule>
    <cfRule type="containsText" priority="365" operator="containsText" aboveAverage="0" equalAverage="0" bottom="0" percent="0" rank="0" text="a serrar" dxfId="2662">
      <formula>NOT(ISERROR(SEARCH("a serrar",N38)))</formula>
    </cfRule>
    <cfRule type="containsText" priority="366" operator="containsText" aboveAverage="0" equalAverage="0" bottom="0" percent="0" rank="0" text="pronto" dxfId="2663">
      <formula>NOT(ISERROR(SEARCH("pronto",N38)))</formula>
    </cfRule>
    <cfRule type="containsText" priority="367" operator="containsText" aboveAverage="0" equalAverage="0" bottom="0" percent="0" rank="0" text="empreita" dxfId="2664">
      <formula>NOT(ISERROR(SEARCH("empreita",N38)))</formula>
    </cfRule>
    <cfRule type="containsText" priority="368" operator="containsText" aboveAverage="0" equalAverage="0" bottom="0" percent="0" rank="0" text="previsto" dxfId="2665">
      <formula>NOT(ISERROR(SEARCH("previsto",N38)))</formula>
    </cfRule>
    <cfRule type="containsText" priority="369" operator="containsText" aboveAverage="0" equalAverage="0" bottom="0" percent="0" rank="0" text="produzindo" dxfId="2666">
      <formula>NOT(ISERROR(SEARCH("produzindo",N38)))</formula>
    </cfRule>
    <cfRule type="containsText" priority="370" operator="containsText" aboveAverage="0" equalAverage="0" bottom="0" percent="0" rank="0" text="material ok" dxfId="2667">
      <formula>NOT(ISERROR(SEARCH("material ok",N38)))</formula>
    </cfRule>
  </conditionalFormatting>
  <conditionalFormatting sqref="N36">
    <cfRule type="containsText" priority="371" operator="containsText" aboveAverage="0" equalAverage="0" bottom="0" percent="0" rank="0" text="a montar" dxfId="2668">
      <formula>NOT(ISERROR(SEARCH("a montar",N36)))</formula>
    </cfRule>
    <cfRule type="containsText" priority="372" operator="containsText" aboveAverage="0" equalAverage="0" bottom="0" percent="0" rank="0" text="a serrar" dxfId="2669">
      <formula>NOT(ISERROR(SEARCH("a serrar",N36)))</formula>
    </cfRule>
    <cfRule type="containsText" priority="373" operator="containsText" aboveAverage="0" equalAverage="0" bottom="0" percent="0" rank="0" text="pronto" dxfId="2670">
      <formula>NOT(ISERROR(SEARCH("pronto",N36)))</formula>
    </cfRule>
    <cfRule type="containsText" priority="374" operator="containsText" aboveAverage="0" equalAverage="0" bottom="0" percent="0" rank="0" text="empreita" dxfId="2671">
      <formula>NOT(ISERROR(SEARCH("empreita",N36)))</formula>
    </cfRule>
    <cfRule type="containsText" priority="375" operator="containsText" aboveAverage="0" equalAverage="0" bottom="0" percent="0" rank="0" text="previsto" dxfId="2672">
      <formula>NOT(ISERROR(SEARCH("previsto",N36)))</formula>
    </cfRule>
    <cfRule type="containsText" priority="376" operator="containsText" aboveAverage="0" equalAverage="0" bottom="0" percent="0" rank="0" text="produzindo" dxfId="2673">
      <formula>NOT(ISERROR(SEARCH("produzindo",N36)))</formula>
    </cfRule>
    <cfRule type="containsText" priority="377" operator="containsText" aboveAverage="0" equalAverage="0" bottom="0" percent="0" rank="0" text="material ok" dxfId="2674">
      <formula>NOT(ISERROR(SEARCH("material ok",N36)))</formula>
    </cfRule>
    <cfRule type="containsText" priority="378" operator="containsText" aboveAverage="0" equalAverage="0" bottom="0" percent="0" rank="0" text="a serrar" dxfId="2675">
      <formula>NOT(ISERROR(SEARCH("a serrar",N36)))</formula>
    </cfRule>
    <cfRule type="containsText" priority="379" operator="containsText" aboveAverage="0" equalAverage="0" bottom="0" percent="0" rank="0" text="pronto" dxfId="2676">
      <formula>NOT(ISERROR(SEARCH("pronto",N36)))</formula>
    </cfRule>
    <cfRule type="containsText" priority="380" operator="containsText" aboveAverage="0" equalAverage="0" bottom="0" percent="0" rank="0" text="empreita" dxfId="2677">
      <formula>NOT(ISERROR(SEARCH("empreita",N36)))</formula>
    </cfRule>
    <cfRule type="containsText" priority="381" operator="containsText" aboveAverage="0" equalAverage="0" bottom="0" percent="0" rank="0" text="previsto" dxfId="2678">
      <formula>NOT(ISERROR(SEARCH("previsto",N36)))</formula>
    </cfRule>
    <cfRule type="containsText" priority="382" operator="containsText" aboveAverage="0" equalAverage="0" bottom="0" percent="0" rank="0" text="produzindo" dxfId="2679">
      <formula>NOT(ISERROR(SEARCH("produzindo",N36)))</formula>
    </cfRule>
    <cfRule type="containsText" priority="383" operator="containsText" aboveAverage="0" equalAverage="0" bottom="0" percent="0" rank="0" text="material ok" dxfId="2680">
      <formula>NOT(ISERROR(SEARCH("material ok",N36)))</formula>
    </cfRule>
  </conditionalFormatting>
  <conditionalFormatting sqref="N35:N36">
    <cfRule type="containsText" priority="384" operator="containsText" aboveAverage="0" equalAverage="0" bottom="0" percent="0" rank="0" text="a montar" dxfId="2681">
      <formula>NOT(ISERROR(SEARCH("a montar",N35)))</formula>
    </cfRule>
    <cfRule type="containsText" priority="385" operator="containsText" aboveAverage="0" equalAverage="0" bottom="0" percent="0" rank="0" text="a serrar" dxfId="2682">
      <formula>NOT(ISERROR(SEARCH("a serrar",N35)))</formula>
    </cfRule>
    <cfRule type="containsText" priority="386" operator="containsText" aboveAverage="0" equalAverage="0" bottom="0" percent="0" rank="0" text="pronto" dxfId="2683">
      <formula>NOT(ISERROR(SEARCH("pronto",N35)))</formula>
    </cfRule>
    <cfRule type="containsText" priority="387" operator="containsText" aboveAverage="0" equalAverage="0" bottom="0" percent="0" rank="0" text="empreita" dxfId="2684">
      <formula>NOT(ISERROR(SEARCH("empreita",N35)))</formula>
    </cfRule>
    <cfRule type="containsText" priority="388" operator="containsText" aboveAverage="0" equalAverage="0" bottom="0" percent="0" rank="0" text="previsto" dxfId="2685">
      <formula>NOT(ISERROR(SEARCH("previsto",N35)))</formula>
    </cfRule>
    <cfRule type="containsText" priority="389" operator="containsText" aboveAverage="0" equalAverage="0" bottom="0" percent="0" rank="0" text="produzindo" dxfId="2686">
      <formula>NOT(ISERROR(SEARCH("produzindo",N35)))</formula>
    </cfRule>
    <cfRule type="containsText" priority="390" operator="containsText" aboveAverage="0" equalAverage="0" bottom="0" percent="0" rank="0" text="material ok" dxfId="2687">
      <formula>NOT(ISERROR(SEARCH("material ok",N35)))</formula>
    </cfRule>
  </conditionalFormatting>
  <conditionalFormatting sqref="N35">
    <cfRule type="containsText" priority="391" operator="containsText" aboveAverage="0" equalAverage="0" bottom="0" percent="0" rank="0" text="a serrar" dxfId="2688">
      <formula>NOT(ISERROR(SEARCH("a serrar",N35)))</formula>
    </cfRule>
    <cfRule type="containsText" priority="392" operator="containsText" aboveAverage="0" equalAverage="0" bottom="0" percent="0" rank="0" text="pronto" dxfId="2689">
      <formula>NOT(ISERROR(SEARCH("pronto",N35)))</formula>
    </cfRule>
    <cfRule type="containsText" priority="393" operator="containsText" aboveAverage="0" equalAverage="0" bottom="0" percent="0" rank="0" text="empreita" dxfId="2690">
      <formula>NOT(ISERROR(SEARCH("empreita",N35)))</formula>
    </cfRule>
    <cfRule type="containsText" priority="394" operator="containsText" aboveAverage="0" equalAverage="0" bottom="0" percent="0" rank="0" text="previsto" dxfId="2691">
      <formula>NOT(ISERROR(SEARCH("previsto",N35)))</formula>
    </cfRule>
    <cfRule type="containsText" priority="395" operator="containsText" aboveAverage="0" equalAverage="0" bottom="0" percent="0" rank="0" text="produzindo" dxfId="2692">
      <formula>NOT(ISERROR(SEARCH("produzindo",N35)))</formula>
    </cfRule>
    <cfRule type="containsText" priority="396" operator="containsText" aboveAverage="0" equalAverage="0" bottom="0" percent="0" rank="0" text="material ok" dxfId="2693">
      <formula>NOT(ISERROR(SEARCH("material ok",N35)))</formula>
    </cfRule>
    <cfRule type="containsText" priority="397" operator="containsText" aboveAverage="0" equalAverage="0" bottom="0" percent="0" rank="0" text="a montar" dxfId="2694">
      <formula>NOT(ISERROR(SEARCH("a montar",N35)))</formula>
    </cfRule>
    <cfRule type="containsText" priority="398" operator="containsText" aboveAverage="0" equalAverage="0" bottom="0" percent="0" rank="0" text="a serrar" dxfId="2695">
      <formula>NOT(ISERROR(SEARCH("a serrar",N35)))</formula>
    </cfRule>
    <cfRule type="containsText" priority="399" operator="containsText" aboveAverage="0" equalAverage="0" bottom="0" percent="0" rank="0" text="pronto" dxfId="2696">
      <formula>NOT(ISERROR(SEARCH("pronto",N35)))</formula>
    </cfRule>
    <cfRule type="containsText" priority="400" operator="containsText" aboveAverage="0" equalAverage="0" bottom="0" percent="0" rank="0" text="empreita" dxfId="2697">
      <formula>NOT(ISERROR(SEARCH("empreita",N35)))</formula>
    </cfRule>
    <cfRule type="containsText" priority="401" operator="containsText" aboveAverage="0" equalAverage="0" bottom="0" percent="0" rank="0" text="previsto" dxfId="2698">
      <formula>NOT(ISERROR(SEARCH("previsto",N35)))</formula>
    </cfRule>
    <cfRule type="containsText" priority="402" operator="containsText" aboveAverage="0" equalAverage="0" bottom="0" percent="0" rank="0" text="produzindo" dxfId="2699">
      <formula>NOT(ISERROR(SEARCH("produzindo",N35)))</formula>
    </cfRule>
    <cfRule type="containsText" priority="403" operator="containsText" aboveAverage="0" equalAverage="0" bottom="0" percent="0" rank="0" text="material ok" dxfId="2700">
      <formula>NOT(ISERROR(SEARCH("material ok",N35)))</formula>
    </cfRule>
  </conditionalFormatting>
  <conditionalFormatting sqref="N30:N43">
    <cfRule type="containsText" priority="404" operator="containsText" aboveAverage="0" equalAverage="0" bottom="0" percent="0" rank="0" text="a montar" dxfId="2701">
      <formula>NOT(ISERROR(SEARCH("a montar",N30)))</formula>
    </cfRule>
    <cfRule type="containsText" priority="405" operator="containsText" aboveAverage="0" equalAverage="0" bottom="0" percent="0" rank="0" text="a serrar" dxfId="2702">
      <formula>NOT(ISERROR(SEARCH("a serrar",N30)))</formula>
    </cfRule>
    <cfRule type="containsText" priority="406" operator="containsText" aboveAverage="0" equalAverage="0" bottom="0" percent="0" rank="0" text="pronto" dxfId="2703">
      <formula>NOT(ISERROR(SEARCH("pronto",N30)))</formula>
    </cfRule>
    <cfRule type="containsText" priority="407" operator="containsText" aboveAverage="0" equalAverage="0" bottom="0" percent="0" rank="0" text="empreita" dxfId="2704">
      <formula>NOT(ISERROR(SEARCH("empreita",N30)))</formula>
    </cfRule>
    <cfRule type="containsText" priority="408" operator="containsText" aboveAverage="0" equalAverage="0" bottom="0" percent="0" rank="0" text="previsto" dxfId="2705">
      <formula>NOT(ISERROR(SEARCH("previsto",N30)))</formula>
    </cfRule>
    <cfRule type="containsText" priority="409" operator="containsText" aboveAverage="0" equalAverage="0" bottom="0" percent="0" rank="0" text="produzindo" dxfId="2706">
      <formula>NOT(ISERROR(SEARCH("produzindo",N30)))</formula>
    </cfRule>
    <cfRule type="containsText" priority="410" operator="containsText" aboveAverage="0" equalAverage="0" bottom="0" percent="0" rank="0" text="material ok" dxfId="2707">
      <formula>NOT(ISERROR(SEARCH("material ok",N30)))</formula>
    </cfRule>
    <cfRule type="containsText" priority="411" operator="containsText" aboveAverage="0" equalAverage="0" bottom="0" percent="0" rank="0" text="a montar" dxfId="2708">
      <formula>NOT(ISERROR(SEARCH("a montar",N30)))</formula>
    </cfRule>
    <cfRule type="containsText" priority="412" operator="containsText" aboveAverage="0" equalAverage="0" bottom="0" percent="0" rank="0" text="a serrar" dxfId="2709">
      <formula>NOT(ISERROR(SEARCH("a serrar",N30)))</formula>
    </cfRule>
    <cfRule type="containsText" priority="413" operator="containsText" aboveAverage="0" equalAverage="0" bottom="0" percent="0" rank="0" text="pronto" dxfId="2710">
      <formula>NOT(ISERROR(SEARCH("pronto",N30)))</formula>
    </cfRule>
    <cfRule type="containsText" priority="414" operator="containsText" aboveAverage="0" equalAverage="0" bottom="0" percent="0" rank="0" text="empreita" dxfId="2711">
      <formula>NOT(ISERROR(SEARCH("empreita",N30)))</formula>
    </cfRule>
    <cfRule type="containsText" priority="415" operator="containsText" aboveAverage="0" equalAverage="0" bottom="0" percent="0" rank="0" text="previsto" dxfId="2712">
      <formula>NOT(ISERROR(SEARCH("previsto",N30)))</formula>
    </cfRule>
    <cfRule type="containsText" priority="416" operator="containsText" aboveAverage="0" equalAverage="0" bottom="0" percent="0" rank="0" text="produzindo" dxfId="2713">
      <formula>NOT(ISERROR(SEARCH("produzindo",N30)))</formula>
    </cfRule>
    <cfRule type="containsText" priority="417" operator="containsText" aboveAverage="0" equalAverage="0" bottom="0" percent="0" rank="0" text="material ok" dxfId="2714">
      <formula>NOT(ISERROR(SEARCH("material ok",N30)))</formula>
    </cfRule>
    <cfRule type="containsText" priority="418" operator="containsText" aboveAverage="0" equalAverage="0" bottom="0" percent="0" rank="0" text="a montar" dxfId="2715">
      <formula>NOT(ISERROR(SEARCH("a montar",N30)))</formula>
    </cfRule>
    <cfRule type="containsText" priority="419" operator="containsText" aboveAverage="0" equalAverage="0" bottom="0" percent="0" rank="0" text="a serrar" dxfId="2716">
      <formula>NOT(ISERROR(SEARCH("a serrar",N30)))</formula>
    </cfRule>
    <cfRule type="containsText" priority="420" operator="containsText" aboveAverage="0" equalAverage="0" bottom="0" percent="0" rank="0" text="pronto" dxfId="2717">
      <formula>NOT(ISERROR(SEARCH("pronto",N30)))</formula>
    </cfRule>
    <cfRule type="containsText" priority="421" operator="containsText" aboveAverage="0" equalAverage="0" bottom="0" percent="0" rank="0" text="empreita" dxfId="2718">
      <formula>NOT(ISERROR(SEARCH("empreita",N30)))</formula>
    </cfRule>
    <cfRule type="containsText" priority="422" operator="containsText" aboveAverage="0" equalAverage="0" bottom="0" percent="0" rank="0" text="previsto" dxfId="2719">
      <formula>NOT(ISERROR(SEARCH("previsto",N30)))</formula>
    </cfRule>
    <cfRule type="containsText" priority="423" operator="containsText" aboveAverage="0" equalAverage="0" bottom="0" percent="0" rank="0" text="produzindo" dxfId="2720">
      <formula>NOT(ISERROR(SEARCH("produzindo",N30)))</formula>
    </cfRule>
    <cfRule type="containsText" priority="424" operator="containsText" aboveAverage="0" equalAverage="0" bottom="0" percent="0" rank="0" text="material ok" dxfId="2721">
      <formula>NOT(ISERROR(SEARCH("material ok",N30)))</formula>
    </cfRule>
  </conditionalFormatting>
  <conditionalFormatting sqref="N18:N28">
    <cfRule type="containsText" priority="425" operator="containsText" aboveAverage="0" equalAverage="0" bottom="0" percent="0" rank="0" text="a montar" dxfId="2722">
      <formula>NOT(ISERROR(SEARCH("a montar",N18)))</formula>
    </cfRule>
    <cfRule type="containsText" priority="426" operator="containsText" aboveAverage="0" equalAverage="0" bottom="0" percent="0" rank="0" text="a serrar" dxfId="2723">
      <formula>NOT(ISERROR(SEARCH("a serrar",N18)))</formula>
    </cfRule>
    <cfRule type="containsText" priority="427" operator="containsText" aboveAverage="0" equalAverage="0" bottom="0" percent="0" rank="0" text="pronto" dxfId="2724">
      <formula>NOT(ISERROR(SEARCH("pronto",N18)))</formula>
    </cfRule>
    <cfRule type="containsText" priority="428" operator="containsText" aboveAverage="0" equalAverage="0" bottom="0" percent="0" rank="0" text="empreita" dxfId="2725">
      <formula>NOT(ISERROR(SEARCH("empreita",N18)))</formula>
    </cfRule>
    <cfRule type="containsText" priority="429" operator="containsText" aboveAverage="0" equalAverage="0" bottom="0" percent="0" rank="0" text="previsto" dxfId="2726">
      <formula>NOT(ISERROR(SEARCH("previsto",N18)))</formula>
    </cfRule>
    <cfRule type="containsText" priority="430" operator="containsText" aboveAverage="0" equalAverage="0" bottom="0" percent="0" rank="0" text="produzindo" dxfId="2727">
      <formula>NOT(ISERROR(SEARCH("produzindo",N18)))</formula>
    </cfRule>
    <cfRule type="containsText" priority="431" operator="containsText" aboveAverage="0" equalAverage="0" bottom="0" percent="0" rank="0" text="material ok" dxfId="2728">
      <formula>NOT(ISERROR(SEARCH("material ok",N18)))</formula>
    </cfRule>
    <cfRule type="containsText" priority="432" operator="containsText" aboveAverage="0" equalAverage="0" bottom="0" percent="0" rank="0" text="a montar" dxfId="2729">
      <formula>NOT(ISERROR(SEARCH("a montar",N18)))</formula>
    </cfRule>
    <cfRule type="containsText" priority="433" operator="containsText" aboveAverage="0" equalAverage="0" bottom="0" percent="0" rank="0" text="a serrar" dxfId="2730">
      <formula>NOT(ISERROR(SEARCH("a serrar",N18)))</formula>
    </cfRule>
    <cfRule type="containsText" priority="434" operator="containsText" aboveAverage="0" equalAverage="0" bottom="0" percent="0" rank="0" text="pronto" dxfId="2731">
      <formula>NOT(ISERROR(SEARCH("pronto",N18)))</formula>
    </cfRule>
    <cfRule type="containsText" priority="435" operator="containsText" aboveAverage="0" equalAverage="0" bottom="0" percent="0" rank="0" text="empreita" dxfId="2732">
      <formula>NOT(ISERROR(SEARCH("empreita",N18)))</formula>
    </cfRule>
    <cfRule type="containsText" priority="436" operator="containsText" aboveAverage="0" equalAverage="0" bottom="0" percent="0" rank="0" text="previsto" dxfId="2733">
      <formula>NOT(ISERROR(SEARCH("previsto",N18)))</formula>
    </cfRule>
    <cfRule type="containsText" priority="437" operator="containsText" aboveAverage="0" equalAverage="0" bottom="0" percent="0" rank="0" text="produzindo" dxfId="2734">
      <formula>NOT(ISERROR(SEARCH("produzindo",N18)))</formula>
    </cfRule>
    <cfRule type="containsText" priority="438" operator="containsText" aboveAverage="0" equalAverage="0" bottom="0" percent="0" rank="0" text="material ok" dxfId="2735">
      <formula>NOT(ISERROR(SEARCH("material ok",N18)))</formula>
    </cfRule>
  </conditionalFormatting>
  <conditionalFormatting sqref="N13:N28 N35:N36 N82:N83 N87:N94 N101:N109 N125:N128 N130:N132 N134 N136:N162">
    <cfRule type="containsText" priority="439" operator="containsText" aboveAverage="0" equalAverage="0" bottom="0" percent="0" rank="0" text="a montar" dxfId="2736">
      <formula>NOT(ISERROR(SEARCH("a montar",N13)))</formula>
    </cfRule>
  </conditionalFormatting>
  <conditionalFormatting sqref="N13:N28">
    <cfRule type="containsText" priority="440" operator="containsText" aboveAverage="0" equalAverage="0" bottom="0" percent="0" rank="0" text="a serrar" dxfId="2737">
      <formula>NOT(ISERROR(SEARCH("a serrar",N13)))</formula>
    </cfRule>
    <cfRule type="containsText" priority="441" operator="containsText" aboveAverage="0" equalAverage="0" bottom="0" percent="0" rank="0" text="pronto" dxfId="2738">
      <formula>NOT(ISERROR(SEARCH("pronto",N13)))</formula>
    </cfRule>
    <cfRule type="containsText" priority="442" operator="containsText" aboveAverage="0" equalAverage="0" bottom="0" percent="0" rank="0" text="empreita" dxfId="2739">
      <formula>NOT(ISERROR(SEARCH("empreita",N13)))</formula>
    </cfRule>
    <cfRule type="containsText" priority="443" operator="containsText" aboveAverage="0" equalAverage="0" bottom="0" percent="0" rank="0" text="previsto" dxfId="2740">
      <formula>NOT(ISERROR(SEARCH("previsto",N13)))</formula>
    </cfRule>
    <cfRule type="containsText" priority="444" operator="containsText" aboveAverage="0" equalAverage="0" bottom="0" percent="0" rank="0" text="produzindo" dxfId="2741">
      <formula>NOT(ISERROR(SEARCH("produzindo",N13)))</formula>
    </cfRule>
    <cfRule type="containsText" priority="445" operator="containsText" aboveAverage="0" equalAverage="0" bottom="0" percent="0" rank="0" text="material ok" dxfId="2742">
      <formula>NOT(ISERROR(SEARCH("material ok",N13)))</formula>
    </cfRule>
  </conditionalFormatting>
  <conditionalFormatting sqref="N7">
    <cfRule type="containsText" priority="446" operator="containsText" aboveAverage="0" equalAverage="0" bottom="0" percent="0" rank="0" text="a montar" dxfId="2743">
      <formula>NOT(ISERROR(SEARCH("a montar",N7)))</formula>
    </cfRule>
    <cfRule type="containsText" priority="447" operator="containsText" aboveAverage="0" equalAverage="0" bottom="0" percent="0" rank="0" text="a serrar" dxfId="2744">
      <formula>NOT(ISERROR(SEARCH("a serrar",N7)))</formula>
    </cfRule>
    <cfRule type="containsText" priority="448" operator="containsText" aboveAverage="0" equalAverage="0" bottom="0" percent="0" rank="0" text="pronto" dxfId="2745">
      <formula>NOT(ISERROR(SEARCH("pronto",N7)))</formula>
    </cfRule>
    <cfRule type="containsText" priority="449" operator="containsText" aboveAverage="0" equalAverage="0" bottom="0" percent="0" rank="0" text="empreita" dxfId="2746">
      <formula>NOT(ISERROR(SEARCH("empreita",N7)))</formula>
    </cfRule>
    <cfRule type="containsText" priority="450" operator="containsText" aboveAverage="0" equalAverage="0" bottom="0" percent="0" rank="0" text="previsto" dxfId="2747">
      <formula>NOT(ISERROR(SEARCH("previsto",N7)))</formula>
    </cfRule>
    <cfRule type="containsText" priority="451" operator="containsText" aboveAverage="0" equalAverage="0" bottom="0" percent="0" rank="0" text="produzindo" dxfId="2748">
      <formula>NOT(ISERROR(SEARCH("produzindo",N7)))</formula>
    </cfRule>
    <cfRule type="containsText" priority="452" operator="containsText" aboveAverage="0" equalAverage="0" bottom="0" percent="0" rank="0" text="material ok" dxfId="2749">
      <formula>NOT(ISERROR(SEARCH("material ok",N7)))</formula>
    </cfRule>
  </conditionalFormatting>
  <conditionalFormatting sqref="N11">
    <cfRule type="containsText" priority="453" operator="containsText" aboveAverage="0" equalAverage="0" bottom="0" percent="0" rank="0" text="a montar" dxfId="2750">
      <formula>NOT(ISERROR(SEARCH("a montar",N11)))</formula>
    </cfRule>
    <cfRule type="containsText" priority="454" operator="containsText" aboveAverage="0" equalAverage="0" bottom="0" percent="0" rank="0" text="a serrar" dxfId="2751">
      <formula>NOT(ISERROR(SEARCH("a serrar",N11)))</formula>
    </cfRule>
    <cfRule type="containsText" priority="455" operator="containsText" aboveAverage="0" equalAverage="0" bottom="0" percent="0" rank="0" text="pronto" dxfId="2752">
      <formula>NOT(ISERROR(SEARCH("pronto",N11)))</formula>
    </cfRule>
    <cfRule type="containsText" priority="456" operator="containsText" aboveAverage="0" equalAverage="0" bottom="0" percent="0" rank="0" text="empreita" dxfId="2753">
      <formula>NOT(ISERROR(SEARCH("empreita",N11)))</formula>
    </cfRule>
    <cfRule type="containsText" priority="457" operator="containsText" aboveAverage="0" equalAverage="0" bottom="0" percent="0" rank="0" text="previsto" dxfId="2754">
      <formula>NOT(ISERROR(SEARCH("previsto",N11)))</formula>
    </cfRule>
    <cfRule type="containsText" priority="458" operator="containsText" aboveAverage="0" equalAverage="0" bottom="0" percent="0" rank="0" text="produzindo" dxfId="2755">
      <formula>NOT(ISERROR(SEARCH("produzindo",N11)))</formula>
    </cfRule>
    <cfRule type="containsText" priority="459" operator="containsText" aboveAverage="0" equalAverage="0" bottom="0" percent="0" rank="0" text="material ok" dxfId="2756">
      <formula>NOT(ISERROR(SEARCH("material ok",N11)))</formula>
    </cfRule>
  </conditionalFormatting>
  <conditionalFormatting sqref="N9">
    <cfRule type="containsText" priority="460" operator="containsText" aboveAverage="0" equalAverage="0" bottom="0" percent="0" rank="0" text="a montar" dxfId="2757">
      <formula>NOT(ISERROR(SEARCH("a montar",N9)))</formula>
    </cfRule>
    <cfRule type="containsText" priority="461" operator="containsText" aboveAverage="0" equalAverage="0" bottom="0" percent="0" rank="0" text="a serrar" dxfId="2758">
      <formula>NOT(ISERROR(SEARCH("a serrar",N9)))</formula>
    </cfRule>
    <cfRule type="containsText" priority="462" operator="containsText" aboveAverage="0" equalAverage="0" bottom="0" percent="0" rank="0" text="pronto" dxfId="2759">
      <formula>NOT(ISERROR(SEARCH("pronto",N9)))</formula>
    </cfRule>
    <cfRule type="containsText" priority="463" operator="containsText" aboveAverage="0" equalAverage="0" bottom="0" percent="0" rank="0" text="empreita" dxfId="2760">
      <formula>NOT(ISERROR(SEARCH("empreita",N9)))</formula>
    </cfRule>
    <cfRule type="containsText" priority="464" operator="containsText" aboveAverage="0" equalAverage="0" bottom="0" percent="0" rank="0" text="previsto" dxfId="2761">
      <formula>NOT(ISERROR(SEARCH("previsto",N9)))</formula>
    </cfRule>
    <cfRule type="containsText" priority="465" operator="containsText" aboveAverage="0" equalAverage="0" bottom="0" percent="0" rank="0" text="produzindo" dxfId="2762">
      <formula>NOT(ISERROR(SEARCH("produzindo",N9)))</formula>
    </cfRule>
    <cfRule type="containsText" priority="466" operator="containsText" aboveAverage="0" equalAverage="0" bottom="0" percent="0" rank="0" text="material ok" dxfId="2763">
      <formula>NOT(ISERROR(SEARCH("material ok",N9)))</formula>
    </cfRule>
  </conditionalFormatting>
  <conditionalFormatting sqref="M1 N85 N111:N112 N114:N123">
    <cfRule type="containsText" priority="467" operator="containsText" aboveAverage="0" equalAverage="0" bottom="0" percent="0" rank="0" text="a montar" dxfId="2764">
      <formula>NOT(ISERROR(SEARCH("a montar",M1)))</formula>
    </cfRule>
  </conditionalFormatting>
  <conditionalFormatting sqref="M1 N85 N114:N123 N87:N94 N106:N109">
    <cfRule type="containsText" priority="468" operator="containsText" aboveAverage="0" equalAverage="0" bottom="0" percent="0" rank="0" text="a serrar" dxfId="2765">
      <formula>NOT(ISERROR(SEARCH("a serrar",M1)))</formula>
    </cfRule>
  </conditionalFormatting>
  <conditionalFormatting sqref="M1 N85 N87:N94 N106:N109 N114:N123">
    <cfRule type="containsText" priority="469" operator="containsText" aboveAverage="0" equalAverage="0" bottom="0" percent="0" rank="0" text="pronto" dxfId="2766">
      <formula>NOT(ISERROR(SEARCH("pronto",M1)))</formula>
    </cfRule>
    <cfRule type="containsText" priority="470" operator="containsText" aboveAverage="0" equalAverage="0" bottom="0" percent="0" rank="0" text="empreita" dxfId="2767">
      <formula>NOT(ISERROR(SEARCH("empreita",M1)))</formula>
    </cfRule>
    <cfRule type="containsText" priority="471" operator="containsText" aboveAverage="0" equalAverage="0" bottom="0" percent="0" rank="0" text="previsto" dxfId="2768">
      <formula>NOT(ISERROR(SEARCH("previsto",M1)))</formula>
    </cfRule>
    <cfRule type="containsText" priority="472" operator="containsText" aboveAverage="0" equalAverage="0" bottom="0" percent="0" rank="0" text="produzindo" dxfId="2769">
      <formula>NOT(ISERROR(SEARCH("produzindo",M1)))</formula>
    </cfRule>
    <cfRule type="containsText" priority="473" operator="containsText" aboveAverage="0" equalAverage="0" bottom="0" percent="0" rank="0" text="material ok" dxfId="2770">
      <formula>NOT(ISERROR(SEARCH("material ok",M1)))</formula>
    </cfRule>
  </conditionalFormatting>
  <conditionalFormatting sqref="N106:N109 N15:N16 J1 N96:N99">
    <cfRule type="containsText" priority="474" operator="containsText" aboveAverage="0" equalAverage="0" bottom="0" percent="0" rank="0" text="a montar" dxfId="2771">
      <formula>NOT(ISERROR(SEARCH("a montar",J1)))</formula>
    </cfRule>
  </conditionalFormatting>
  <conditionalFormatting sqref="J1 N15:N16 N96:N99 N101:N109 N111:N112 N35:N36 N82:N83 N125:N128 N130:N132 N134 N136:N162 N63 N65:N77">
    <cfRule type="containsText" priority="475" operator="containsText" aboveAverage="0" equalAverage="0" bottom="0" percent="0" rank="0" text="a serrar" dxfId="2772">
      <formula>NOT(ISERROR(SEARCH("a serrar",J1)))</formula>
    </cfRule>
  </conditionalFormatting>
  <conditionalFormatting sqref="J1 N15:N16 N35:N36 N63 N65:N77 N82:N83 N96:N99 N101:N109 N111:N112 N125:N128 N130:N132 N134 N136:N162">
    <cfRule type="containsText" priority="476" operator="containsText" aboveAverage="0" equalAverage="0" bottom="0" percent="0" rank="0" text="pronto" dxfId="2773">
      <formula>NOT(ISERROR(SEARCH("pronto",J1)))</formula>
    </cfRule>
    <cfRule type="containsText" priority="477" operator="containsText" aboveAverage="0" equalAverage="0" bottom="0" percent="0" rank="0" text="empreita" dxfId="2774">
      <formula>NOT(ISERROR(SEARCH("empreita",J1)))</formula>
    </cfRule>
    <cfRule type="containsText" priority="478" operator="containsText" aboveAverage="0" equalAverage="0" bottom="0" percent="0" rank="0" text="previsto" dxfId="2775">
      <formula>NOT(ISERROR(SEARCH("previsto",J1)))</formula>
    </cfRule>
    <cfRule type="containsText" priority="479" operator="containsText" aboveAverage="0" equalAverage="0" bottom="0" percent="0" rank="0" text="produzindo" dxfId="2776">
      <formula>NOT(ISERROR(SEARCH("produzindo",J1)))</formula>
    </cfRule>
    <cfRule type="containsText" priority="480" operator="containsText" aboveAverage="0" equalAverage="0" bottom="0" percent="0" rank="0" text="material ok" dxfId="2777">
      <formula>NOT(ISERROR(SEARCH("material ok",J1)))</formula>
    </cfRule>
  </conditionalFormatting>
  <conditionalFormatting sqref="N1:N5">
    <cfRule type="containsText" priority="481" operator="containsText" aboveAverage="0" equalAverage="0" bottom="0" percent="0" rank="0" text="a montar" dxfId="2778">
      <formula>NOT(ISERROR(SEARCH("a montar",N1)))</formula>
    </cfRule>
    <cfRule type="containsText" priority="482" operator="containsText" aboveAverage="0" equalAverage="0" bottom="0" percent="0" rank="0" text="a serrar" dxfId="2779">
      <formula>NOT(ISERROR(SEARCH("a serrar",N1)))</formula>
    </cfRule>
    <cfRule type="containsText" priority="483" operator="containsText" aboveAverage="0" equalAverage="0" bottom="0" percent="0" rank="0" text="pronto" dxfId="2780">
      <formula>NOT(ISERROR(SEARCH("pronto",N1)))</formula>
    </cfRule>
    <cfRule type="containsText" priority="484" operator="containsText" aboveAverage="0" equalAverage="0" bottom="0" percent="0" rank="0" text="empreita" dxfId="2781">
      <formula>NOT(ISERROR(SEARCH("empreita",N1)))</formula>
    </cfRule>
    <cfRule type="containsText" priority="485" operator="containsText" aboveAverage="0" equalAverage="0" bottom="0" percent="0" rank="0" text="previsto" dxfId="2782">
      <formula>NOT(ISERROR(SEARCH("previsto",N1)))</formula>
    </cfRule>
    <cfRule type="containsText" priority="486" operator="containsText" aboveAverage="0" equalAverage="0" bottom="0" percent="0" rank="0" text="produzindo" dxfId="2783">
      <formula>NOT(ISERROR(SEARCH("produzindo",N1)))</formula>
    </cfRule>
    <cfRule type="containsText" priority="487" operator="containsText" aboveAverage="0" equalAverage="0" bottom="0" percent="0" rank="0" text="material ok" dxfId="2784">
      <formula>NOT(ISERROR(SEARCH("material ok",N1)))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24" activeCellId="0" sqref="Q24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2" style="0" width="19.43"/>
    <col collapsed="false" customWidth="true" hidden="false" outlineLevel="0" max="3" min="3" style="0" width="21.43"/>
    <col collapsed="false" customWidth="true" hidden="false" outlineLevel="0" max="4" min="4" style="0" width="8.14"/>
    <col collapsed="false" customWidth="true" hidden="false" outlineLevel="0" max="5" min="5" style="0" width="23.72"/>
    <col collapsed="false" customWidth="true" hidden="false" outlineLevel="0" max="6" min="6" style="0" width="10.43"/>
    <col collapsed="false" customWidth="true" hidden="false" outlineLevel="0" max="7" min="7" style="0" width="10.71"/>
    <col collapsed="false" customWidth="true" hidden="false" outlineLevel="0" max="11" min="11" style="0" width="14.57"/>
    <col collapsed="false" customWidth="true" hidden="false" outlineLevel="0" max="13" min="13" style="0" width="16.43"/>
    <col collapsed="false" customWidth="true" hidden="false" outlineLevel="0" max="14" min="14" style="0" width="11.28"/>
    <col collapsed="false" customWidth="true" hidden="false" outlineLevel="0" max="15" min="15" style="0" width="13.29"/>
    <col collapsed="false" customWidth="true" hidden="false" outlineLevel="0" max="16" min="16" style="0" width="13"/>
  </cols>
  <sheetData>
    <row r="1" customFormat="false" ht="16.4" hidden="false" customHeight="false" outlineLevel="0" collapsed="false">
      <c r="A1" s="1"/>
      <c r="C1" s="2"/>
      <c r="D1" s="1"/>
      <c r="F1" s="1"/>
      <c r="G1" s="1"/>
      <c r="H1" s="1"/>
      <c r="I1" s="1"/>
      <c r="J1" s="1" t="s">
        <v>0</v>
      </c>
      <c r="K1" s="4" t="s">
        <v>1</v>
      </c>
      <c r="L1" s="5" t="s">
        <v>2</v>
      </c>
      <c r="M1" s="6" t="s">
        <v>3</v>
      </c>
      <c r="N1" s="3" t="s">
        <v>4</v>
      </c>
      <c r="O1" s="7" t="s">
        <v>5</v>
      </c>
      <c r="P1" s="8" t="s">
        <v>6</v>
      </c>
      <c r="Q1" s="9" t="s">
        <v>3</v>
      </c>
      <c r="R1" s="10"/>
      <c r="S1" s="11"/>
    </row>
    <row r="2" customFormat="false" ht="15" hidden="false" customHeight="false" outlineLevel="0" collapsed="false">
      <c r="A2" s="1"/>
      <c r="C2" s="2"/>
      <c r="D2" s="1"/>
      <c r="F2" s="1"/>
      <c r="G2" s="1"/>
      <c r="H2" s="1"/>
      <c r="I2" s="1"/>
      <c r="J2" s="1"/>
      <c r="K2" s="12"/>
      <c r="L2" s="13"/>
      <c r="M2" s="14"/>
      <c r="N2" s="15"/>
      <c r="O2" s="10"/>
      <c r="P2" s="1"/>
      <c r="Q2" s="11"/>
      <c r="R2" s="10"/>
      <c r="S2" s="11"/>
    </row>
    <row r="3" customFormat="false" ht="16.4" hidden="false" customHeight="false" outlineLevel="0" collapsed="false">
      <c r="A3" s="16" t="s">
        <v>7</v>
      </c>
      <c r="B3" s="16" t="s">
        <v>8</v>
      </c>
      <c r="C3" s="16" t="s">
        <v>9</v>
      </c>
      <c r="D3" s="16"/>
      <c r="E3" s="16" t="s">
        <v>10</v>
      </c>
      <c r="F3" s="16" t="s">
        <v>11</v>
      </c>
      <c r="G3" s="16" t="s">
        <v>12</v>
      </c>
      <c r="H3" s="17" t="s">
        <v>13</v>
      </c>
      <c r="I3" s="16" t="s">
        <v>14</v>
      </c>
      <c r="J3" s="16" t="s">
        <v>15</v>
      </c>
      <c r="K3" s="16" t="s">
        <v>16</v>
      </c>
      <c r="L3" s="18" t="s">
        <v>17</v>
      </c>
      <c r="M3" s="18" t="s">
        <v>18</v>
      </c>
      <c r="N3" s="19" t="s">
        <v>19</v>
      </c>
      <c r="O3" s="18"/>
      <c r="P3" s="16" t="s">
        <v>20</v>
      </c>
      <c r="Q3" s="20"/>
      <c r="R3" s="21"/>
      <c r="S3" s="16"/>
    </row>
    <row r="4" customFormat="false" ht="15" hidden="false" customHeight="false" outlineLevel="0" collapsed="false">
      <c r="P4" s="1"/>
    </row>
    <row r="5" customFormat="false" ht="16.4" hidden="false" customHeight="false" outlineLevel="0" collapsed="false">
      <c r="A5" s="1" t="n">
        <v>6216</v>
      </c>
      <c r="B5" s="0" t="s">
        <v>462</v>
      </c>
      <c r="C5" s="0" t="s">
        <v>55</v>
      </c>
      <c r="D5" s="1" t="s">
        <v>37</v>
      </c>
      <c r="E5" s="0" t="s">
        <v>38</v>
      </c>
      <c r="F5" s="1" t="n">
        <v>8.04</v>
      </c>
      <c r="G5" s="1" t="n">
        <v>7.95</v>
      </c>
      <c r="H5" s="1" t="n">
        <f aca="false">-((G5*100/F5)-100)</f>
        <v>1.11940298507461</v>
      </c>
      <c r="I5" s="33" t="n">
        <v>450</v>
      </c>
      <c r="J5" s="1" t="n">
        <f aca="false">(F5-G5)*I5</f>
        <v>40.4999999999995</v>
      </c>
      <c r="K5" s="1" t="n">
        <f aca="false">G5*I5</f>
        <v>3577.5</v>
      </c>
      <c r="M5" s="23" t="n">
        <v>12550</v>
      </c>
      <c r="N5" s="1" t="s">
        <v>4</v>
      </c>
      <c r="O5" s="23" t="n">
        <v>12550</v>
      </c>
      <c r="P5" s="1" t="s">
        <v>29</v>
      </c>
    </row>
    <row r="6" customFormat="false" ht="16.4" hidden="false" customHeight="false" outlineLevel="0" collapsed="false">
      <c r="A6" s="1" t="n">
        <v>6216</v>
      </c>
      <c r="B6" s="0" t="s">
        <v>462</v>
      </c>
      <c r="C6" s="0" t="s">
        <v>197</v>
      </c>
      <c r="D6" s="1" t="s">
        <v>37</v>
      </c>
      <c r="E6" s="0" t="s">
        <v>466</v>
      </c>
      <c r="F6" s="1" t="n">
        <v>5.72</v>
      </c>
      <c r="G6" s="1" t="n">
        <v>5.21</v>
      </c>
      <c r="H6" s="1" t="n">
        <f aca="false">-((G6*100/F6)-100)</f>
        <v>8.91608391608391</v>
      </c>
      <c r="I6" s="33" t="n">
        <v>560</v>
      </c>
      <c r="J6" s="1" t="n">
        <f aca="false">(F6-G6)*I6</f>
        <v>285.6</v>
      </c>
      <c r="K6" s="1" t="n">
        <f aca="false">G6*I6</f>
        <v>2917.6</v>
      </c>
      <c r="L6" s="1"/>
      <c r="M6" s="23" t="n">
        <v>10138</v>
      </c>
      <c r="N6" s="1" t="s">
        <v>4</v>
      </c>
      <c r="O6" s="23" t="n">
        <v>10138</v>
      </c>
      <c r="P6" s="1" t="s">
        <v>26</v>
      </c>
    </row>
    <row r="7" customFormat="false" ht="15" hidden="false" customHeight="false" outlineLevel="0" collapsed="false">
      <c r="H7" s="1"/>
      <c r="J7" s="1" t="n">
        <f aca="false">(F7-G7)*I7</f>
        <v>0</v>
      </c>
      <c r="K7" s="1" t="n">
        <f aca="false">G7*I7</f>
        <v>0</v>
      </c>
      <c r="P7" s="1"/>
    </row>
    <row r="8" customFormat="false" ht="16.4" hidden="false" customHeight="false" outlineLevel="0" collapsed="false">
      <c r="A8" s="1" t="n">
        <v>6222</v>
      </c>
      <c r="B8" s="0" t="s">
        <v>453</v>
      </c>
      <c r="C8" s="0" t="s">
        <v>467</v>
      </c>
      <c r="D8" s="1" t="s">
        <v>24</v>
      </c>
      <c r="E8" s="0" t="s">
        <v>468</v>
      </c>
      <c r="F8" s="1" t="n">
        <v>3.31</v>
      </c>
      <c r="G8" s="1" t="n">
        <v>2.83</v>
      </c>
      <c r="H8" s="1" t="n">
        <f aca="false">-((G8*100/F8)-100)</f>
        <v>14.5015105740181</v>
      </c>
      <c r="I8" s="33" t="n">
        <v>360</v>
      </c>
      <c r="J8" s="1" t="n">
        <f aca="false">(F8-G8)*I8</f>
        <v>172.8</v>
      </c>
      <c r="K8" s="1" t="n">
        <f aca="false">G8*I8</f>
        <v>1018.8</v>
      </c>
      <c r="M8" s="23" t="n">
        <v>4893</v>
      </c>
      <c r="N8" s="3" t="s">
        <v>4</v>
      </c>
      <c r="O8" s="23" t="n">
        <v>4893</v>
      </c>
      <c r="P8" s="1" t="s">
        <v>29</v>
      </c>
    </row>
    <row r="9" customFormat="false" ht="16.4" hidden="false" customHeight="false" outlineLevel="0" collapsed="false">
      <c r="A9" s="1" t="n">
        <v>6222</v>
      </c>
      <c r="B9" s="0" t="s">
        <v>453</v>
      </c>
      <c r="C9" s="0" t="s">
        <v>469</v>
      </c>
      <c r="D9" s="1" t="s">
        <v>24</v>
      </c>
      <c r="E9" s="0" t="s">
        <v>468</v>
      </c>
      <c r="F9" s="1" t="n">
        <v>0.41</v>
      </c>
      <c r="G9" s="1" t="n">
        <v>0.41</v>
      </c>
      <c r="H9" s="1" t="n">
        <f aca="false">-((G9*100/F9)-100)</f>
        <v>-0</v>
      </c>
      <c r="I9" s="33" t="n">
        <v>360</v>
      </c>
      <c r="J9" s="1" t="n">
        <f aca="false">(F9-G9)*I9</f>
        <v>0</v>
      </c>
      <c r="K9" s="1" t="n">
        <f aca="false">G9*I9</f>
        <v>147.6</v>
      </c>
      <c r="M9" s="23" t="n">
        <v>520</v>
      </c>
      <c r="N9" s="3" t="s">
        <v>4</v>
      </c>
      <c r="O9" s="23" t="n">
        <v>520</v>
      </c>
      <c r="P9" s="1" t="s">
        <v>31</v>
      </c>
    </row>
    <row r="10" customFormat="false" ht="16.4" hidden="false" customHeight="false" outlineLevel="0" collapsed="false">
      <c r="A10" s="1" t="n">
        <v>6222</v>
      </c>
      <c r="B10" s="0" t="s">
        <v>453</v>
      </c>
      <c r="C10" s="0" t="s">
        <v>470</v>
      </c>
      <c r="D10" s="1" t="s">
        <v>53</v>
      </c>
      <c r="E10" s="0" t="s">
        <v>68</v>
      </c>
      <c r="F10" s="1" t="n">
        <v>0.09</v>
      </c>
      <c r="G10" s="1" t="n">
        <v>0.09</v>
      </c>
      <c r="H10" s="1" t="n">
        <f aca="false">-((G10*100/F10)-100)</f>
        <v>-0</v>
      </c>
      <c r="I10" s="33" t="n">
        <v>582</v>
      </c>
      <c r="J10" s="1" t="n">
        <f aca="false">(F10-G10)*I10</f>
        <v>0</v>
      </c>
      <c r="K10" s="1" t="n">
        <f aca="false">G10*I10</f>
        <v>52.38</v>
      </c>
      <c r="M10" s="23" t="n">
        <v>110</v>
      </c>
      <c r="N10" s="3" t="s">
        <v>4</v>
      </c>
      <c r="O10" s="23" t="n">
        <v>110</v>
      </c>
      <c r="P10" s="1" t="s">
        <v>31</v>
      </c>
    </row>
    <row r="11" customFormat="false" ht="15" hidden="false" customHeight="false" outlineLevel="0" collapsed="false">
      <c r="H11" s="1"/>
      <c r="J11" s="1" t="n">
        <f aca="false">(F11-G11)*I11</f>
        <v>0</v>
      </c>
      <c r="K11" s="1" t="n">
        <f aca="false">G11*I11</f>
        <v>0</v>
      </c>
      <c r="P11" s="1"/>
      <c r="R11" s="10"/>
    </row>
    <row r="12" customFormat="false" ht="16.4" hidden="false" customHeight="false" outlineLevel="0" collapsed="false">
      <c r="A12" s="1" t="n">
        <v>6191</v>
      </c>
      <c r="B12" s="0" t="s">
        <v>381</v>
      </c>
      <c r="C12" s="0" t="s">
        <v>51</v>
      </c>
      <c r="D12" s="1" t="s">
        <v>53</v>
      </c>
      <c r="E12" s="0" t="s">
        <v>382</v>
      </c>
      <c r="F12" s="1" t="n">
        <v>1.41</v>
      </c>
      <c r="G12" s="1" t="n">
        <v>1.41</v>
      </c>
      <c r="H12" s="1" t="n">
        <f aca="false">-((G12*100/F12)-100)</f>
        <v>-0</v>
      </c>
      <c r="I12" s="33" t="n">
        <v>760</v>
      </c>
      <c r="J12" s="1" t="n">
        <f aca="false">(F12-G12)*I12</f>
        <v>0</v>
      </c>
      <c r="K12" s="1" t="n">
        <f aca="false">G12*I12</f>
        <v>1071.6</v>
      </c>
      <c r="M12" s="23" t="n">
        <v>2197</v>
      </c>
      <c r="N12" s="3" t="s">
        <v>4</v>
      </c>
      <c r="O12" s="23" t="n">
        <v>2197</v>
      </c>
      <c r="P12" s="1" t="s">
        <v>29</v>
      </c>
      <c r="R12" s="10"/>
    </row>
    <row r="13" customFormat="false" ht="16.4" hidden="false" customHeight="false" outlineLevel="0" collapsed="false">
      <c r="A13" s="1" t="n">
        <v>6191</v>
      </c>
      <c r="B13" s="0" t="s">
        <v>381</v>
      </c>
      <c r="C13" s="0" t="s">
        <v>471</v>
      </c>
      <c r="D13" s="1" t="s">
        <v>53</v>
      </c>
      <c r="E13" s="0" t="s">
        <v>382</v>
      </c>
      <c r="F13" s="1" t="n">
        <v>3.08</v>
      </c>
      <c r="G13" s="1" t="n">
        <v>3.08</v>
      </c>
      <c r="H13" s="1" t="n">
        <f aca="false">-((G13*100/F13)-100)</f>
        <v>-0</v>
      </c>
      <c r="I13" s="33" t="n">
        <v>760</v>
      </c>
      <c r="J13" s="1" t="n">
        <f aca="false">(F13-G13)*I13</f>
        <v>0</v>
      </c>
      <c r="K13" s="1" t="n">
        <f aca="false">G13*I13</f>
        <v>2340.8</v>
      </c>
      <c r="M13" s="23" t="n">
        <v>5550</v>
      </c>
      <c r="N13" s="3" t="s">
        <v>4</v>
      </c>
      <c r="O13" s="23" t="n">
        <v>5550</v>
      </c>
      <c r="P13" s="1" t="s">
        <v>29</v>
      </c>
      <c r="R13" s="10"/>
    </row>
    <row r="14" customFormat="false" ht="15" hidden="false" customHeight="false" outlineLevel="0" collapsed="false">
      <c r="A14" s="1"/>
      <c r="D14" s="1"/>
      <c r="F14" s="1"/>
      <c r="G14" s="1"/>
      <c r="H14" s="1"/>
      <c r="I14" s="1"/>
      <c r="J14" s="1" t="n">
        <f aca="false">(F14-G14)*I14</f>
        <v>0</v>
      </c>
      <c r="K14" s="1" t="n">
        <f aca="false">G14*I14</f>
        <v>0</v>
      </c>
      <c r="M14" s="23"/>
      <c r="N14" s="3"/>
      <c r="O14" s="23"/>
      <c r="P14" s="1"/>
      <c r="R14" s="10"/>
    </row>
    <row r="15" customFormat="false" ht="16.4" hidden="false" customHeight="false" outlineLevel="0" collapsed="false">
      <c r="A15" s="1" t="n">
        <v>6214</v>
      </c>
      <c r="B15" s="0" t="s">
        <v>425</v>
      </c>
      <c r="C15" s="0" t="s">
        <v>472</v>
      </c>
      <c r="D15" s="1" t="s">
        <v>53</v>
      </c>
      <c r="E15" s="0" t="s">
        <v>54</v>
      </c>
      <c r="F15" s="1" t="n">
        <v>2.57</v>
      </c>
      <c r="G15" s="1" t="n">
        <v>2.57</v>
      </c>
      <c r="H15" s="1" t="n">
        <f aca="false">-((G15*100/F15)-100)</f>
        <v>-0</v>
      </c>
      <c r="I15" s="33" t="n">
        <v>824.5</v>
      </c>
      <c r="J15" s="1" t="n">
        <f aca="false">(F15-G15)*I15</f>
        <v>0</v>
      </c>
      <c r="K15" s="1" t="n">
        <f aca="false">G15*I15</f>
        <v>2118.965</v>
      </c>
      <c r="M15" s="23" t="n">
        <v>5181</v>
      </c>
      <c r="N15" s="3" t="s">
        <v>4</v>
      </c>
      <c r="O15" s="23" t="n">
        <v>5181</v>
      </c>
      <c r="P15" s="1" t="s">
        <v>29</v>
      </c>
      <c r="R15" s="10"/>
    </row>
    <row r="16" customFormat="false" ht="16.4" hidden="false" customHeight="false" outlineLevel="0" collapsed="false">
      <c r="A16" s="1" t="n">
        <v>6214</v>
      </c>
      <c r="B16" s="0" t="s">
        <v>425</v>
      </c>
      <c r="C16" s="0" t="s">
        <v>426</v>
      </c>
      <c r="D16" s="1" t="s">
        <v>53</v>
      </c>
      <c r="E16" s="0" t="s">
        <v>54</v>
      </c>
      <c r="F16" s="1" t="n">
        <v>4.62</v>
      </c>
      <c r="G16" s="1" t="n">
        <v>4.62</v>
      </c>
      <c r="H16" s="1" t="n">
        <f aca="false">-((G16*100/F16)-100)</f>
        <v>-0</v>
      </c>
      <c r="I16" s="33" t="n">
        <v>824.5</v>
      </c>
      <c r="J16" s="1" t="n">
        <f aca="false">(F16-G16)*I16</f>
        <v>0</v>
      </c>
      <c r="K16" s="1" t="n">
        <f aca="false">G16*I16</f>
        <v>3809.19</v>
      </c>
      <c r="M16" s="23" t="n">
        <v>9314</v>
      </c>
      <c r="N16" s="3" t="s">
        <v>4</v>
      </c>
      <c r="O16" s="23" t="n">
        <v>9314</v>
      </c>
      <c r="P16" s="1" t="s">
        <v>29</v>
      </c>
      <c r="R16" s="10"/>
    </row>
    <row r="17" customFormat="false" ht="15" hidden="false" customHeight="false" outlineLevel="0" collapsed="false">
      <c r="A17" s="1"/>
      <c r="D17" s="1"/>
      <c r="H17" s="1"/>
      <c r="J17" s="1" t="n">
        <f aca="false">(F17-G17)*I17</f>
        <v>0</v>
      </c>
      <c r="K17" s="1" t="n">
        <f aca="false">G17*I17</f>
        <v>0</v>
      </c>
      <c r="M17" s="23"/>
      <c r="N17" s="26"/>
      <c r="O17" s="23"/>
      <c r="P17" s="1"/>
      <c r="R17" s="10"/>
    </row>
    <row r="18" customFormat="false" ht="16.4" hidden="false" customHeight="false" outlineLevel="0" collapsed="false">
      <c r="A18" s="1" t="n">
        <v>6230</v>
      </c>
      <c r="B18" s="0" t="s">
        <v>473</v>
      </c>
      <c r="C18" s="0" t="s">
        <v>62</v>
      </c>
      <c r="D18" s="1" t="s">
        <v>24</v>
      </c>
      <c r="E18" s="0" t="s">
        <v>257</v>
      </c>
      <c r="F18" s="1" t="n">
        <v>1.76</v>
      </c>
      <c r="G18" s="1" t="n">
        <v>1.76</v>
      </c>
      <c r="H18" s="1" t="n">
        <f aca="false">-((G18*100/F18)-100)</f>
        <v>-0</v>
      </c>
      <c r="I18" s="33" t="n">
        <v>132</v>
      </c>
      <c r="J18" s="1" t="n">
        <f aca="false">(F18-G18)*I18</f>
        <v>0</v>
      </c>
      <c r="K18" s="1" t="n">
        <f aca="false">G18*I18</f>
        <v>232.32</v>
      </c>
      <c r="M18" s="23" t="n">
        <v>2294</v>
      </c>
      <c r="N18" s="3" t="s">
        <v>4</v>
      </c>
      <c r="O18" s="23" t="n">
        <v>2294</v>
      </c>
      <c r="P18" s="1" t="s">
        <v>29</v>
      </c>
    </row>
    <row r="19" customFormat="false" ht="16.4" hidden="false" customHeight="false" outlineLevel="0" collapsed="false">
      <c r="A19" s="1" t="n">
        <v>6230</v>
      </c>
      <c r="B19" s="0" t="s">
        <v>473</v>
      </c>
      <c r="C19" s="0" t="s">
        <v>474</v>
      </c>
      <c r="H19" s="1" t="e">
        <f aca="false">-((G19*100/F19)-100)</f>
        <v>#DIV/0!</v>
      </c>
      <c r="J19" s="1" t="n">
        <f aca="false">(F19-G19)*I19</f>
        <v>0</v>
      </c>
      <c r="K19" s="1" t="n">
        <f aca="false">G19*I19</f>
        <v>0</v>
      </c>
      <c r="L19" s="1" t="n">
        <v>149</v>
      </c>
      <c r="M19" s="23" t="n">
        <v>280</v>
      </c>
      <c r="N19" s="3" t="s">
        <v>4</v>
      </c>
      <c r="O19" s="23" t="n">
        <v>280</v>
      </c>
      <c r="P19" s="1" t="s">
        <v>29</v>
      </c>
      <c r="R19" s="10"/>
    </row>
    <row r="20" customFormat="false" ht="15" hidden="false" customHeight="false" outlineLevel="0" collapsed="false">
      <c r="H20" s="1"/>
      <c r="J20" s="1" t="n">
        <f aca="false">(F20-G20)*I20</f>
        <v>0</v>
      </c>
      <c r="K20" s="1" t="n">
        <f aca="false">G20*I20</f>
        <v>0</v>
      </c>
      <c r="P20" s="1"/>
      <c r="R20" s="10"/>
    </row>
    <row r="21" customFormat="false" ht="16.4" hidden="false" customHeight="false" outlineLevel="0" collapsed="false">
      <c r="A21" s="1" t="n">
        <v>6188</v>
      </c>
      <c r="B21" s="0" t="s">
        <v>447</v>
      </c>
      <c r="C21" s="0" t="s">
        <v>67</v>
      </c>
      <c r="D21" s="1" t="s">
        <v>53</v>
      </c>
      <c r="E21" s="0" t="s">
        <v>54</v>
      </c>
      <c r="F21" s="1" t="n">
        <v>2.52</v>
      </c>
      <c r="G21" s="1" t="n">
        <v>2.52</v>
      </c>
      <c r="H21" s="1" t="n">
        <f aca="false">-((G21*100/F21)-100)</f>
        <v>-0</v>
      </c>
      <c r="I21" s="33" t="n">
        <v>824</v>
      </c>
      <c r="J21" s="1" t="n">
        <f aca="false">(F21-G21)*I21</f>
        <v>0</v>
      </c>
      <c r="K21" s="1" t="n">
        <f aca="false">G21*I21</f>
        <v>2076.48</v>
      </c>
      <c r="M21" s="23" t="n">
        <v>5092</v>
      </c>
      <c r="N21" s="3" t="s">
        <v>4</v>
      </c>
      <c r="O21" s="23" t="n">
        <v>5092</v>
      </c>
      <c r="P21" s="1" t="s">
        <v>29</v>
      </c>
    </row>
    <row r="22" customFormat="false" ht="16.4" hidden="false" customHeight="false" outlineLevel="0" collapsed="false">
      <c r="A22" s="1" t="n">
        <v>6188</v>
      </c>
      <c r="B22" s="0" t="s">
        <v>447</v>
      </c>
      <c r="C22" s="0" t="s">
        <v>475</v>
      </c>
      <c r="D22" s="1" t="s">
        <v>53</v>
      </c>
      <c r="E22" s="0" t="s">
        <v>54</v>
      </c>
      <c r="F22" s="1" t="n">
        <v>1.48</v>
      </c>
      <c r="G22" s="1" t="n">
        <v>1.48</v>
      </c>
      <c r="H22" s="1" t="n">
        <f aca="false">-((G22*100/F22)-100)</f>
        <v>-0</v>
      </c>
      <c r="I22" s="33" t="n">
        <v>824</v>
      </c>
      <c r="J22" s="1" t="n">
        <f aca="false">(F22-G22)*I22</f>
        <v>0</v>
      </c>
      <c r="K22" s="1" t="n">
        <f aca="false">G22*I22</f>
        <v>1219.52</v>
      </c>
      <c r="M22" s="23" t="n">
        <v>2990</v>
      </c>
      <c r="N22" s="3" t="s">
        <v>4</v>
      </c>
      <c r="O22" s="23" t="n">
        <v>2990</v>
      </c>
      <c r="P22" s="1" t="s">
        <v>29</v>
      </c>
      <c r="R22" s="10"/>
    </row>
    <row r="23" customFormat="false" ht="16.4" hidden="false" customHeight="false" outlineLevel="0" collapsed="false">
      <c r="A23" s="1" t="n">
        <v>6188</v>
      </c>
      <c r="B23" s="0" t="s">
        <v>447</v>
      </c>
      <c r="C23" s="0" t="s">
        <v>56</v>
      </c>
      <c r="D23" s="1" t="s">
        <v>53</v>
      </c>
      <c r="E23" s="0" t="s">
        <v>68</v>
      </c>
      <c r="F23" s="1" t="n">
        <v>0.7</v>
      </c>
      <c r="G23" s="1" t="n">
        <v>0.7</v>
      </c>
      <c r="H23" s="1" t="n">
        <f aca="false">-((G23*100/F23)-100)</f>
        <v>-0</v>
      </c>
      <c r="I23" s="33" t="n">
        <v>582</v>
      </c>
      <c r="J23" s="1" t="n">
        <f aca="false">(F23-G23)*I23</f>
        <v>0</v>
      </c>
      <c r="K23" s="1" t="n">
        <f aca="false">G23*I23</f>
        <v>407.4</v>
      </c>
      <c r="M23" s="23" t="n">
        <v>1114</v>
      </c>
      <c r="N23" s="3" t="s">
        <v>4</v>
      </c>
      <c r="O23" s="23" t="n">
        <v>1114</v>
      </c>
      <c r="P23" s="1" t="s">
        <v>29</v>
      </c>
      <c r="R23" s="10"/>
    </row>
    <row r="24" customFormat="false" ht="16.4" hidden="false" customHeight="false" outlineLevel="0" collapsed="false">
      <c r="A24" s="1" t="n">
        <v>6188</v>
      </c>
      <c r="B24" s="0" t="s">
        <v>447</v>
      </c>
      <c r="C24" s="0" t="s">
        <v>476</v>
      </c>
      <c r="D24" s="1" t="s">
        <v>53</v>
      </c>
      <c r="E24" s="0" t="s">
        <v>68</v>
      </c>
      <c r="F24" s="1" t="n">
        <v>0.24</v>
      </c>
      <c r="G24" s="1" t="n">
        <v>0.24</v>
      </c>
      <c r="H24" s="1" t="n">
        <f aca="false">-((G24*100/F24)-100)</f>
        <v>-0</v>
      </c>
      <c r="I24" s="33" t="n">
        <v>582</v>
      </c>
      <c r="J24" s="1" t="n">
        <f aca="false">(F24-G24)*I24</f>
        <v>0</v>
      </c>
      <c r="K24" s="1" t="n">
        <f aca="false">G24*I24</f>
        <v>139.68</v>
      </c>
      <c r="M24" s="23" t="n">
        <v>402</v>
      </c>
      <c r="N24" s="3" t="s">
        <v>4</v>
      </c>
      <c r="O24" s="23" t="n">
        <v>402</v>
      </c>
      <c r="P24" s="1" t="s">
        <v>29</v>
      </c>
    </row>
    <row r="25" customFormat="false" ht="16.4" hidden="false" customHeight="false" outlineLevel="0" collapsed="false">
      <c r="A25" s="1" t="n">
        <v>6188</v>
      </c>
      <c r="B25" s="0" t="s">
        <v>447</v>
      </c>
      <c r="C25" s="0" t="s">
        <v>477</v>
      </c>
      <c r="D25" s="1" t="s">
        <v>53</v>
      </c>
      <c r="E25" s="0" t="s">
        <v>68</v>
      </c>
      <c r="F25" s="1" t="n">
        <v>0.73</v>
      </c>
      <c r="G25" s="1" t="n">
        <v>0.73</v>
      </c>
      <c r="H25" s="1" t="n">
        <f aca="false">-((G25*100/F25)-100)</f>
        <v>-0</v>
      </c>
      <c r="I25" s="33" t="n">
        <v>582</v>
      </c>
      <c r="J25" s="1" t="n">
        <f aca="false">(F25-G25)*I25</f>
        <v>0</v>
      </c>
      <c r="K25" s="1" t="n">
        <f aca="false">G25*I25</f>
        <v>424.86</v>
      </c>
      <c r="M25" s="23" t="n">
        <v>1124</v>
      </c>
      <c r="N25" s="3" t="s">
        <v>4</v>
      </c>
      <c r="O25" s="23" t="n">
        <v>1124</v>
      </c>
      <c r="P25" s="1" t="s">
        <v>31</v>
      </c>
    </row>
    <row r="26" customFormat="false" ht="15" hidden="false" customHeight="false" outlineLevel="0" collapsed="false">
      <c r="H26" s="1"/>
      <c r="J26" s="1" t="n">
        <f aca="false">(F26-G26)*I26</f>
        <v>0</v>
      </c>
      <c r="K26" s="1" t="n">
        <f aca="false">G26*I26</f>
        <v>0</v>
      </c>
      <c r="P26" s="1"/>
      <c r="R26" s="10"/>
    </row>
    <row r="27" customFormat="false" ht="16.4" hidden="false" customHeight="false" outlineLevel="0" collapsed="false">
      <c r="A27" s="1" t="n">
        <v>6221</v>
      </c>
      <c r="B27" s="0" t="s">
        <v>478</v>
      </c>
      <c r="C27" s="0" t="s">
        <v>55</v>
      </c>
      <c r="D27" s="1" t="s">
        <v>53</v>
      </c>
      <c r="E27" s="0" t="s">
        <v>479</v>
      </c>
      <c r="F27" s="1" t="n">
        <v>10.34</v>
      </c>
      <c r="G27" s="1" t="n">
        <v>10.34</v>
      </c>
      <c r="H27" s="1" t="n">
        <f aca="false">-((G27*100/F27)-100)</f>
        <v>-0</v>
      </c>
      <c r="I27" s="33" t="n">
        <v>1095</v>
      </c>
      <c r="J27" s="1" t="n">
        <f aca="false">(F27-G27)*I27</f>
        <v>0</v>
      </c>
      <c r="K27" s="1" t="n">
        <f aca="false">G27*I27</f>
        <v>11322.3</v>
      </c>
      <c r="L27" s="1"/>
      <c r="M27" s="23" t="n">
        <v>30998</v>
      </c>
      <c r="N27" s="3" t="s">
        <v>4</v>
      </c>
      <c r="O27" s="23" t="n">
        <v>30998</v>
      </c>
      <c r="P27" s="1" t="s">
        <v>29</v>
      </c>
    </row>
    <row r="28" customFormat="false" ht="16.4" hidden="false" customHeight="false" outlineLevel="0" collapsed="false">
      <c r="A28" s="1" t="n">
        <v>6221</v>
      </c>
      <c r="B28" s="0" t="s">
        <v>478</v>
      </c>
      <c r="C28" s="0" t="s">
        <v>480</v>
      </c>
      <c r="D28" s="1" t="s">
        <v>53</v>
      </c>
      <c r="E28" s="0" t="s">
        <v>479</v>
      </c>
      <c r="F28" s="1" t="n">
        <v>0.96</v>
      </c>
      <c r="G28" s="1" t="n">
        <v>0.96</v>
      </c>
      <c r="H28" s="1" t="n">
        <f aca="false">-((G28*100/F28)-100)</f>
        <v>-0</v>
      </c>
      <c r="I28" s="33" t="n">
        <v>1095</v>
      </c>
      <c r="J28" s="1" t="n">
        <f aca="false">(F28-G28)*I28</f>
        <v>0</v>
      </c>
      <c r="K28" s="1" t="n">
        <f aca="false">G28*I28</f>
        <v>1051.2</v>
      </c>
      <c r="L28" s="1"/>
      <c r="M28" s="23" t="n">
        <v>2876</v>
      </c>
      <c r="N28" s="3" t="s">
        <v>4</v>
      </c>
      <c r="O28" s="23" t="n">
        <v>2876</v>
      </c>
      <c r="P28" s="1" t="s">
        <v>29</v>
      </c>
      <c r="R28" s="10"/>
    </row>
    <row r="29" customFormat="false" ht="16.4" hidden="false" customHeight="false" outlineLevel="0" collapsed="false">
      <c r="A29" s="1" t="n">
        <v>6221</v>
      </c>
      <c r="B29" s="0" t="s">
        <v>478</v>
      </c>
      <c r="C29" s="0" t="s">
        <v>42</v>
      </c>
      <c r="D29" s="1" t="s">
        <v>53</v>
      </c>
      <c r="E29" s="0" t="s">
        <v>479</v>
      </c>
      <c r="F29" s="1" t="n">
        <v>1.43</v>
      </c>
      <c r="G29" s="1" t="n">
        <v>1.43</v>
      </c>
      <c r="H29" s="1" t="n">
        <f aca="false">-((G29*100/F29)-100)</f>
        <v>-0</v>
      </c>
      <c r="I29" s="33" t="n">
        <v>1095</v>
      </c>
      <c r="J29" s="1" t="n">
        <f aca="false">(F29-G29)*I29</f>
        <v>0</v>
      </c>
      <c r="K29" s="1" t="n">
        <f aca="false">G29*I29</f>
        <v>1565.85</v>
      </c>
      <c r="L29" s="1"/>
      <c r="M29" s="23" t="n">
        <v>4255</v>
      </c>
      <c r="N29" s="3" t="s">
        <v>4</v>
      </c>
      <c r="O29" s="23" t="n">
        <v>4255</v>
      </c>
      <c r="P29" s="1" t="s">
        <v>29</v>
      </c>
    </row>
    <row r="30" customFormat="false" ht="16.4" hidden="false" customHeight="false" outlineLevel="0" collapsed="false">
      <c r="A30" s="1" t="n">
        <v>6221</v>
      </c>
      <c r="B30" s="0" t="s">
        <v>478</v>
      </c>
      <c r="C30" s="0" t="s">
        <v>62</v>
      </c>
      <c r="D30" s="1" t="s">
        <v>37</v>
      </c>
      <c r="E30" s="0" t="s">
        <v>377</v>
      </c>
      <c r="F30" s="1" t="n">
        <v>1.7</v>
      </c>
      <c r="G30" s="1" t="n">
        <v>1.22</v>
      </c>
      <c r="H30" s="1" t="n">
        <f aca="false">-((G30*100/F30)-100)</f>
        <v>28.2352941176471</v>
      </c>
      <c r="I30" s="33" t="n">
        <v>1095</v>
      </c>
      <c r="J30" s="1" t="n">
        <f aca="false">(F30-G30)*I30</f>
        <v>525.6</v>
      </c>
      <c r="K30" s="1" t="n">
        <f aca="false">G30*I30</f>
        <v>1335.9</v>
      </c>
      <c r="L30" s="1"/>
      <c r="M30" s="23" t="n">
        <v>5702</v>
      </c>
      <c r="N30" s="3" t="s">
        <v>4</v>
      </c>
      <c r="O30" s="23" t="n">
        <v>5702</v>
      </c>
      <c r="P30" s="1" t="s">
        <v>29</v>
      </c>
    </row>
    <row r="31" customFormat="false" ht="15" hidden="false" customHeight="false" outlineLevel="0" collapsed="false">
      <c r="A31" s="1"/>
      <c r="D31" s="1"/>
      <c r="H31" s="1"/>
      <c r="J31" s="1" t="n">
        <f aca="false">(F31-G31)*I31</f>
        <v>0</v>
      </c>
      <c r="K31" s="1" t="n">
        <f aca="false">G31*I31</f>
        <v>0</v>
      </c>
      <c r="L31" s="1"/>
      <c r="M31" s="23"/>
      <c r="N31" s="1"/>
      <c r="O31" s="23"/>
      <c r="P31" s="1"/>
      <c r="R31" s="10"/>
    </row>
    <row r="32" customFormat="false" ht="16.4" hidden="false" customHeight="false" outlineLevel="0" collapsed="false">
      <c r="A32" s="1" t="n">
        <v>6208</v>
      </c>
      <c r="B32" s="0" t="s">
        <v>481</v>
      </c>
      <c r="C32" s="0" t="s">
        <v>120</v>
      </c>
      <c r="D32" s="1" t="s">
        <v>53</v>
      </c>
      <c r="E32" s="0" t="s">
        <v>482</v>
      </c>
      <c r="F32" s="1" t="n">
        <v>0.32</v>
      </c>
      <c r="G32" s="1" t="n">
        <v>0.32</v>
      </c>
      <c r="H32" s="1" t="n">
        <f aca="false">-((G32*100/F32)-100)</f>
        <v>-0</v>
      </c>
      <c r="I32" s="33" t="n">
        <v>900</v>
      </c>
      <c r="J32" s="1" t="n">
        <f aca="false">(F32-G32)*I32</f>
        <v>0</v>
      </c>
      <c r="K32" s="1" t="n">
        <f aca="false">G32*I32</f>
        <v>288</v>
      </c>
      <c r="M32" s="23" t="n">
        <v>410</v>
      </c>
      <c r="N32" s="3" t="s">
        <v>4</v>
      </c>
      <c r="O32" s="23" t="n">
        <v>410</v>
      </c>
      <c r="P32" s="1" t="s">
        <v>26</v>
      </c>
      <c r="R32" s="10"/>
    </row>
    <row r="33" customFormat="false" ht="16.4" hidden="false" customHeight="false" outlineLevel="0" collapsed="false">
      <c r="A33" s="1" t="n">
        <v>6208</v>
      </c>
      <c r="B33" s="0" t="s">
        <v>481</v>
      </c>
      <c r="C33" s="0" t="s">
        <v>42</v>
      </c>
      <c r="D33" s="1" t="s">
        <v>53</v>
      </c>
      <c r="E33" s="0" t="s">
        <v>482</v>
      </c>
      <c r="F33" s="1" t="n">
        <v>2.37</v>
      </c>
      <c r="G33" s="1" t="n">
        <v>2.37</v>
      </c>
      <c r="H33" s="1" t="n">
        <f aca="false">-((G33*100/F33)-100)</f>
        <v>-0</v>
      </c>
      <c r="I33" s="33" t="n">
        <v>900</v>
      </c>
      <c r="J33" s="1" t="n">
        <f aca="false">(F33-G33)*I33</f>
        <v>0</v>
      </c>
      <c r="K33" s="1" t="n">
        <f aca="false">G33*I33</f>
        <v>2133</v>
      </c>
      <c r="M33" s="23" t="n">
        <v>4835</v>
      </c>
      <c r="N33" s="3" t="s">
        <v>4</v>
      </c>
      <c r="O33" s="23" t="n">
        <v>4835</v>
      </c>
      <c r="P33" s="1" t="s">
        <v>26</v>
      </c>
      <c r="R33" s="10"/>
    </row>
    <row r="34" customFormat="false" ht="16.4" hidden="false" customHeight="false" outlineLevel="0" collapsed="false">
      <c r="A34" s="1" t="n">
        <v>6208</v>
      </c>
      <c r="B34" s="0" t="s">
        <v>481</v>
      </c>
      <c r="C34" s="0" t="s">
        <v>483</v>
      </c>
      <c r="D34" s="1" t="s">
        <v>53</v>
      </c>
      <c r="E34" s="0" t="s">
        <v>482</v>
      </c>
      <c r="F34" s="1" t="n">
        <v>23.67</v>
      </c>
      <c r="G34" s="1" t="n">
        <v>23.67</v>
      </c>
      <c r="H34" s="1" t="n">
        <f aca="false">-((G34*100/F34)-100)</f>
        <v>-0</v>
      </c>
      <c r="I34" s="33" t="n">
        <v>900</v>
      </c>
      <c r="J34" s="1" t="n">
        <f aca="false">(F34-G34)*I34</f>
        <v>0</v>
      </c>
      <c r="K34" s="1" t="n">
        <f aca="false">G34*I34</f>
        <v>21303</v>
      </c>
      <c r="M34" s="23" t="n">
        <v>49200</v>
      </c>
      <c r="N34" s="3" t="s">
        <v>4</v>
      </c>
      <c r="O34" s="23" t="n">
        <v>49200</v>
      </c>
      <c r="P34" s="1" t="s">
        <v>26</v>
      </c>
      <c r="R34" s="10"/>
    </row>
    <row r="35" customFormat="false" ht="16.4" hidden="false" customHeight="false" outlineLevel="0" collapsed="false">
      <c r="A35" s="1" t="n">
        <v>6208</v>
      </c>
      <c r="B35" s="0" t="s">
        <v>481</v>
      </c>
      <c r="C35" s="0" t="s">
        <v>57</v>
      </c>
      <c r="D35" s="1" t="s">
        <v>53</v>
      </c>
      <c r="E35" s="0" t="s">
        <v>482</v>
      </c>
      <c r="F35" s="1" t="n">
        <v>7.52</v>
      </c>
      <c r="G35" s="1" t="n">
        <v>7.52</v>
      </c>
      <c r="H35" s="1" t="n">
        <f aca="false">-((G35*100/F35)-100)</f>
        <v>-0</v>
      </c>
      <c r="I35" s="33" t="n">
        <v>900</v>
      </c>
      <c r="J35" s="1" t="n">
        <f aca="false">(F35-G35)*I35</f>
        <v>0</v>
      </c>
      <c r="K35" s="1" t="n">
        <f aca="false">G35*I35</f>
        <v>6768</v>
      </c>
      <c r="M35" s="23" t="n">
        <v>15555</v>
      </c>
      <c r="N35" s="3" t="s">
        <v>4</v>
      </c>
      <c r="O35" s="23" t="n">
        <v>15555</v>
      </c>
      <c r="P35" s="1" t="s">
        <v>29</v>
      </c>
      <c r="R35" s="10"/>
    </row>
    <row r="36" customFormat="false" ht="15" hidden="false" customHeight="false" outlineLevel="0" collapsed="false">
      <c r="H36" s="1"/>
      <c r="J36" s="1" t="n">
        <f aca="false">(F36-G36)*I36</f>
        <v>0</v>
      </c>
      <c r="K36" s="1" t="n">
        <f aca="false">G36*I36</f>
        <v>0</v>
      </c>
      <c r="P36" s="1"/>
      <c r="R36" s="10"/>
    </row>
    <row r="37" customFormat="false" ht="16.4" hidden="false" customHeight="false" outlineLevel="0" collapsed="false">
      <c r="A37" s="1" t="n">
        <v>6216</v>
      </c>
      <c r="B37" s="0" t="s">
        <v>462</v>
      </c>
      <c r="C37" s="0" t="s">
        <v>484</v>
      </c>
      <c r="D37" s="1" t="s">
        <v>24</v>
      </c>
      <c r="E37" s="0" t="s">
        <v>28</v>
      </c>
      <c r="F37" s="1" t="n">
        <v>0.34</v>
      </c>
      <c r="G37" s="1" t="n">
        <v>0.34</v>
      </c>
      <c r="H37" s="1" t="n">
        <f aca="false">-((G37*100/F37)-100)</f>
        <v>-0</v>
      </c>
      <c r="I37" s="33" t="n">
        <v>228</v>
      </c>
      <c r="J37" s="1" t="n">
        <f aca="false">(F37-G37)*I37</f>
        <v>0</v>
      </c>
      <c r="K37" s="1" t="n">
        <f aca="false">G37*I37</f>
        <v>77.52</v>
      </c>
      <c r="L37" s="1"/>
      <c r="M37" s="23" t="n">
        <v>325</v>
      </c>
      <c r="N37" s="3" t="s">
        <v>4</v>
      </c>
      <c r="O37" s="23" t="n">
        <v>325</v>
      </c>
      <c r="P37" s="1" t="s">
        <v>31</v>
      </c>
      <c r="R37" s="10"/>
    </row>
    <row r="38" customFormat="false" ht="15" hidden="false" customHeight="false" outlineLevel="0" collapsed="false">
      <c r="H38" s="1"/>
      <c r="J38" s="1" t="n">
        <f aca="false">(F38-G38)*I38</f>
        <v>0</v>
      </c>
      <c r="K38" s="1" t="n">
        <f aca="false">G38*I38</f>
        <v>0</v>
      </c>
      <c r="P38" s="1"/>
    </row>
    <row r="39" customFormat="false" ht="16.4" hidden="false" customHeight="false" outlineLevel="0" collapsed="false">
      <c r="A39" s="1" t="n">
        <v>6184</v>
      </c>
      <c r="B39" s="0" t="s">
        <v>455</v>
      </c>
      <c r="C39" s="0" t="s">
        <v>485</v>
      </c>
      <c r="D39" s="1" t="s">
        <v>24</v>
      </c>
      <c r="E39" s="0" t="s">
        <v>380</v>
      </c>
      <c r="F39" s="1" t="n">
        <v>0.64</v>
      </c>
      <c r="G39" s="1" t="n">
        <v>0.64</v>
      </c>
      <c r="H39" s="1" t="n">
        <f aca="false">-((G39*100/F39)-100)</f>
        <v>-0</v>
      </c>
      <c r="I39" s="33" t="n">
        <v>309</v>
      </c>
      <c r="J39" s="1" t="n">
        <f aca="false">(F39-G39)*I39</f>
        <v>0</v>
      </c>
      <c r="K39" s="1" t="n">
        <f aca="false">G39*I39</f>
        <v>197.76</v>
      </c>
      <c r="M39" s="23" t="n">
        <v>823</v>
      </c>
      <c r="N39" s="3" t="s">
        <v>4</v>
      </c>
      <c r="O39" s="23" t="n">
        <v>823</v>
      </c>
      <c r="P39" s="1" t="s">
        <v>31</v>
      </c>
      <c r="R39" s="10"/>
    </row>
    <row r="40" customFormat="false" ht="16.4" hidden="false" customHeight="false" outlineLevel="0" collapsed="false">
      <c r="A40" s="1" t="n">
        <v>6184</v>
      </c>
      <c r="B40" s="0" t="s">
        <v>455</v>
      </c>
      <c r="C40" s="0" t="s">
        <v>486</v>
      </c>
      <c r="D40" s="1" t="s">
        <v>24</v>
      </c>
      <c r="E40" s="0" t="s">
        <v>487</v>
      </c>
      <c r="F40" s="1" t="n">
        <v>0.29</v>
      </c>
      <c r="G40" s="1" t="n">
        <v>0.29</v>
      </c>
      <c r="H40" s="1" t="n">
        <f aca="false">-((G40*100/F40)-100)</f>
        <v>-0</v>
      </c>
      <c r="I40" s="33" t="n">
        <v>164</v>
      </c>
      <c r="J40" s="1" t="n">
        <f aca="false">(F40-G40)*I40</f>
        <v>0</v>
      </c>
      <c r="K40" s="1" t="n">
        <f aca="false">G40*I40</f>
        <v>47.56</v>
      </c>
      <c r="M40" s="23" t="n">
        <v>214</v>
      </c>
      <c r="N40" s="3" t="s">
        <v>4</v>
      </c>
      <c r="O40" s="23" t="n">
        <v>214</v>
      </c>
      <c r="P40" s="1" t="s">
        <v>31</v>
      </c>
      <c r="R40" s="10"/>
    </row>
    <row r="41" customFormat="false" ht="15" hidden="false" customHeight="false" outlineLevel="0" collapsed="false">
      <c r="A41" s="1"/>
      <c r="D41" s="1"/>
      <c r="F41" s="1"/>
      <c r="G41" s="1"/>
      <c r="H41" s="1"/>
      <c r="J41" s="1" t="n">
        <f aca="false">(F41-G41)*I41</f>
        <v>0</v>
      </c>
      <c r="K41" s="1" t="n">
        <f aca="false">G41*I41</f>
        <v>0</v>
      </c>
      <c r="M41" s="23"/>
      <c r="N41" s="3"/>
      <c r="O41" s="23"/>
      <c r="P41" s="1"/>
      <c r="R41" s="10"/>
    </row>
    <row r="42" customFormat="false" ht="16.4" hidden="false" customHeight="false" outlineLevel="0" collapsed="false">
      <c r="A42" s="1" t="n">
        <v>6233</v>
      </c>
      <c r="B42" s="0" t="s">
        <v>111</v>
      </c>
      <c r="C42" s="0" t="s">
        <v>67</v>
      </c>
      <c r="D42" s="1" t="s">
        <v>53</v>
      </c>
      <c r="E42" s="0" t="s">
        <v>423</v>
      </c>
      <c r="F42" s="1" t="n">
        <v>1.45</v>
      </c>
      <c r="G42" s="1" t="n">
        <v>1.45</v>
      </c>
      <c r="H42" s="1" t="n">
        <f aca="false">-((G42*100/F42)-100)</f>
        <v>-0</v>
      </c>
      <c r="I42" s="33" t="n">
        <v>480</v>
      </c>
      <c r="J42" s="1" t="n">
        <f aca="false">(F42-G42)*I42</f>
        <v>0</v>
      </c>
      <c r="K42" s="1" t="n">
        <f aca="false">G42*I42</f>
        <v>696</v>
      </c>
      <c r="M42" s="23" t="n">
        <v>3000</v>
      </c>
      <c r="N42" s="3" t="s">
        <v>4</v>
      </c>
      <c r="O42" s="23" t="n">
        <v>3000</v>
      </c>
      <c r="P42" s="1" t="s">
        <v>31</v>
      </c>
    </row>
    <row r="43" customFormat="false" ht="15" hidden="false" customHeight="false" outlineLevel="0" collapsed="false">
      <c r="A43" s="1"/>
      <c r="D43" s="1"/>
      <c r="F43" s="1"/>
      <c r="H43" s="1"/>
      <c r="J43" s="1" t="n">
        <f aca="false">(F43-G43)*I43</f>
        <v>0</v>
      </c>
      <c r="K43" s="1" t="n">
        <f aca="false">G43*I43</f>
        <v>0</v>
      </c>
      <c r="M43" s="23"/>
      <c r="N43" s="3"/>
      <c r="O43" s="23"/>
      <c r="P43" s="1"/>
      <c r="R43" s="10"/>
    </row>
    <row r="44" customFormat="false" ht="16.4" hidden="false" customHeight="false" outlineLevel="0" collapsed="false">
      <c r="A44" s="1" t="n">
        <v>6236</v>
      </c>
      <c r="B44" s="0" t="s">
        <v>488</v>
      </c>
      <c r="C44" s="0" t="s">
        <v>489</v>
      </c>
      <c r="D44" s="1" t="s">
        <v>37</v>
      </c>
      <c r="E44" s="0" t="s">
        <v>38</v>
      </c>
      <c r="F44" s="1" t="n">
        <v>0.93</v>
      </c>
      <c r="G44" s="1" t="n">
        <v>0.93</v>
      </c>
      <c r="H44" s="1" t="n">
        <f aca="false">-((G44*100/F44)-100)</f>
        <v>-0</v>
      </c>
      <c r="I44" s="33" t="n">
        <v>450</v>
      </c>
      <c r="J44" s="1" t="n">
        <f aca="false">(F44-G44)*I44</f>
        <v>0</v>
      </c>
      <c r="K44" s="1" t="n">
        <f aca="false">G44*I44</f>
        <v>418.5</v>
      </c>
      <c r="M44" s="23" t="n">
        <v>1343</v>
      </c>
      <c r="N44" s="3" t="s">
        <v>4</v>
      </c>
      <c r="O44" s="23" t="n">
        <v>1343</v>
      </c>
      <c r="P44" s="1" t="s">
        <v>26</v>
      </c>
    </row>
    <row r="45" customFormat="false" ht="15" hidden="false" customHeight="false" outlineLevel="0" collapsed="false">
      <c r="A45" s="1"/>
      <c r="D45" s="1"/>
      <c r="H45" s="1"/>
      <c r="J45" s="1"/>
      <c r="K45" s="1"/>
      <c r="M45" s="23"/>
      <c r="N45" s="3"/>
      <c r="O45" s="23"/>
      <c r="P45" s="1"/>
    </row>
    <row r="46" customFormat="false" ht="16.4" hidden="false" customHeight="false" outlineLevel="0" collapsed="false">
      <c r="A46" s="1"/>
      <c r="C46" s="1"/>
      <c r="D46" s="1"/>
      <c r="F46" s="1" t="n">
        <v>88.64</v>
      </c>
      <c r="G46" s="3" t="n">
        <v>87.08</v>
      </c>
      <c r="H46" s="1"/>
      <c r="J46" s="1" t="n">
        <v>1024.5</v>
      </c>
      <c r="K46" s="1" t="n">
        <v>68759.28</v>
      </c>
      <c r="M46" s="23" t="n">
        <f aca="false">SUM(M5:M44)</f>
        <v>183285</v>
      </c>
      <c r="N46" s="3"/>
      <c r="O46" s="23"/>
      <c r="P46" s="1"/>
      <c r="R46" s="10"/>
    </row>
    <row r="47" customFormat="false" ht="15" hidden="false" customHeight="false" outlineLevel="0" collapsed="false">
      <c r="A47" s="1"/>
      <c r="C47" s="1"/>
      <c r="D47" s="1"/>
      <c r="G47" s="3"/>
      <c r="H47" s="1"/>
      <c r="J47" s="1"/>
      <c r="K47" s="1"/>
      <c r="M47" s="23"/>
      <c r="N47" s="3"/>
      <c r="O47" s="23"/>
      <c r="P47" s="1"/>
      <c r="R47" s="10"/>
    </row>
    <row r="48" customFormat="false" ht="15" hidden="false" customHeight="false" outlineLevel="0" collapsed="false">
      <c r="A48" s="33" t="n">
        <v>0</v>
      </c>
      <c r="B48" s="66" t="s">
        <v>490</v>
      </c>
      <c r="C48" s="66"/>
      <c r="D48" s="33"/>
      <c r="E48" s="66"/>
      <c r="F48" s="33"/>
      <c r="G48" s="67"/>
      <c r="H48" s="33"/>
      <c r="I48" s="66"/>
      <c r="J48" s="33"/>
      <c r="K48" s="33"/>
      <c r="L48" s="66"/>
      <c r="M48" s="68" t="n">
        <v>1180</v>
      </c>
      <c r="N48" s="33"/>
      <c r="O48" s="68" t="n">
        <v>1180</v>
      </c>
      <c r="P48" s="33" t="s">
        <v>196</v>
      </c>
      <c r="R48" s="10"/>
    </row>
    <row r="49" customFormat="false" ht="15" hidden="false" customHeight="false" outlineLevel="0" collapsed="false">
      <c r="A49" s="1"/>
      <c r="C49" s="1"/>
      <c r="D49" s="1"/>
      <c r="H49" s="1"/>
      <c r="J49" s="1"/>
      <c r="K49" s="1"/>
      <c r="M49" s="23"/>
      <c r="N49" s="3"/>
      <c r="O49" s="23"/>
      <c r="P49" s="1"/>
      <c r="R49" s="10"/>
    </row>
    <row r="50" customFormat="false" ht="15" hidden="false" customHeight="false" outlineLevel="0" collapsed="false">
      <c r="A50" s="1"/>
      <c r="D50" s="1"/>
      <c r="F50" s="1"/>
      <c r="G50" s="1"/>
      <c r="H50" s="1"/>
      <c r="J50" s="1"/>
      <c r="K50" s="1"/>
      <c r="M50" s="23"/>
      <c r="N50" s="3"/>
      <c r="O50" s="23"/>
      <c r="P50" s="1"/>
      <c r="R50" s="10"/>
    </row>
    <row r="52" customFormat="false" ht="15" hidden="false" customHeight="false" outlineLevel="0" collapsed="false">
      <c r="A52" s="1"/>
      <c r="D52" s="1"/>
      <c r="F52" s="1"/>
      <c r="G52" s="1"/>
      <c r="H52" s="1"/>
      <c r="J52" s="1"/>
      <c r="K52" s="1"/>
      <c r="M52" s="23"/>
      <c r="N52" s="1"/>
      <c r="O52" s="23"/>
      <c r="P52" s="1"/>
    </row>
    <row r="53" customFormat="false" ht="15" hidden="false" customHeight="false" outlineLevel="0" collapsed="false">
      <c r="A53" s="1"/>
      <c r="D53" s="1"/>
      <c r="F53" s="1"/>
      <c r="G53" s="1"/>
      <c r="H53" s="1"/>
      <c r="I53" s="1"/>
      <c r="J53" s="1"/>
      <c r="K53" s="1"/>
      <c r="M53" s="23"/>
      <c r="N53" s="1"/>
      <c r="O53" s="23"/>
      <c r="P53" s="1"/>
    </row>
    <row r="54" customFormat="false" ht="15" hidden="false" customHeight="false" outlineLevel="0" collapsed="false">
      <c r="A54" s="1"/>
      <c r="D54" s="1"/>
      <c r="F54" s="1"/>
      <c r="G54" s="1"/>
      <c r="H54" s="1"/>
      <c r="J54" s="1"/>
      <c r="K54" s="1"/>
      <c r="M54" s="23"/>
      <c r="N54" s="1"/>
      <c r="O54" s="23"/>
      <c r="P54" s="1"/>
      <c r="R54" s="10"/>
    </row>
    <row r="55" customFormat="false" ht="15" hidden="false" customHeight="false" outlineLevel="0" collapsed="false">
      <c r="A55" s="1"/>
      <c r="D55" s="1"/>
      <c r="F55" s="1"/>
      <c r="G55" s="1"/>
      <c r="H55" s="1"/>
      <c r="J55" s="1"/>
      <c r="K55" s="1"/>
      <c r="M55" s="23"/>
      <c r="N55" s="1"/>
      <c r="O55" s="23"/>
      <c r="P55" s="1"/>
      <c r="R55" s="10"/>
    </row>
    <row r="56" customFormat="false" ht="15" hidden="false" customHeight="false" outlineLevel="0" collapsed="false">
      <c r="A56" s="1"/>
      <c r="D56" s="1"/>
      <c r="F56" s="1"/>
      <c r="G56" s="1"/>
      <c r="H56" s="1"/>
      <c r="I56" s="1"/>
      <c r="J56" s="1"/>
      <c r="K56" s="1"/>
      <c r="M56" s="23"/>
      <c r="N56" s="1"/>
      <c r="O56" s="23"/>
      <c r="P56" s="1"/>
    </row>
    <row r="57" customFormat="false" ht="15" hidden="false" customHeight="false" outlineLevel="0" collapsed="false">
      <c r="K57" s="1"/>
      <c r="P57" s="1"/>
      <c r="R57" s="10"/>
    </row>
    <row r="58" customFormat="false" ht="15" hidden="false" customHeight="false" outlineLevel="0" collapsed="false">
      <c r="A58" s="1"/>
      <c r="D58" s="1"/>
      <c r="F58" s="1"/>
      <c r="H58" s="1"/>
      <c r="J58" s="1"/>
      <c r="K58" s="1"/>
      <c r="M58" s="23"/>
      <c r="N58" s="1"/>
      <c r="O58" s="23"/>
      <c r="P58" s="1"/>
      <c r="R58" s="10"/>
    </row>
    <row r="59" customFormat="false" ht="15" hidden="false" customHeight="false" outlineLevel="0" collapsed="false">
      <c r="A59" s="1"/>
      <c r="D59" s="1"/>
      <c r="F59" s="1"/>
      <c r="H59" s="1"/>
      <c r="J59" s="1"/>
      <c r="K59" s="1"/>
      <c r="M59" s="23"/>
      <c r="N59" s="1"/>
      <c r="O59" s="23"/>
      <c r="P59" s="1"/>
      <c r="R59" s="10"/>
    </row>
    <row r="60" customFormat="false" ht="15" hidden="false" customHeight="false" outlineLevel="0" collapsed="false">
      <c r="A60" s="1"/>
      <c r="D60" s="1"/>
      <c r="F60" s="1"/>
      <c r="H60" s="1"/>
      <c r="I60" s="1"/>
      <c r="J60" s="1"/>
      <c r="K60" s="1"/>
      <c r="M60" s="23"/>
      <c r="N60" s="1"/>
      <c r="O60" s="23"/>
      <c r="P60" s="1"/>
      <c r="R60" s="10"/>
    </row>
    <row r="61" customFormat="false" ht="15" hidden="false" customHeight="false" outlineLevel="0" collapsed="false">
      <c r="F61" s="1"/>
      <c r="K61" s="1"/>
      <c r="P61" s="1"/>
      <c r="R61" s="10"/>
    </row>
    <row r="62" customFormat="false" ht="15" hidden="false" customHeight="false" outlineLevel="0" collapsed="false">
      <c r="A62" s="1"/>
      <c r="D62" s="1"/>
      <c r="F62" s="1"/>
      <c r="H62" s="1"/>
      <c r="J62" s="1"/>
      <c r="K62" s="1"/>
      <c r="M62" s="23"/>
      <c r="N62" s="1"/>
      <c r="O62" s="23"/>
      <c r="P62" s="1"/>
      <c r="R62" s="10"/>
    </row>
    <row r="63" customFormat="false" ht="15" hidden="false" customHeight="false" outlineLevel="0" collapsed="false">
      <c r="F63" s="1"/>
      <c r="K63" s="1"/>
      <c r="P63" s="1"/>
      <c r="R63" s="10"/>
    </row>
    <row r="64" customFormat="false" ht="15" hidden="false" customHeight="false" outlineLevel="0" collapsed="false">
      <c r="A64" s="1"/>
      <c r="F64" s="1"/>
      <c r="H64" s="1"/>
      <c r="I64" s="1"/>
      <c r="J64" s="1"/>
      <c r="K64" s="1"/>
      <c r="M64" s="23"/>
      <c r="N64" s="1"/>
      <c r="O64" s="23"/>
      <c r="P64" s="1"/>
      <c r="R64" s="10"/>
    </row>
    <row r="65" customFormat="false" ht="15" hidden="false" customHeight="false" outlineLevel="0" collapsed="false">
      <c r="A65" s="1"/>
      <c r="H65" s="1"/>
      <c r="J65" s="1"/>
      <c r="K65" s="1"/>
      <c r="M65" s="23"/>
      <c r="N65" s="1"/>
      <c r="O65" s="23"/>
      <c r="P65" s="1"/>
      <c r="R65" s="10"/>
    </row>
    <row r="66" customFormat="false" ht="15" hidden="false" customHeight="false" outlineLevel="0" collapsed="false">
      <c r="A66" s="1"/>
      <c r="D66" s="1"/>
      <c r="F66" s="1"/>
      <c r="G66" s="1"/>
      <c r="H66" s="1"/>
      <c r="I66" s="1"/>
      <c r="J66" s="1"/>
      <c r="K66" s="1"/>
      <c r="L66" s="10"/>
      <c r="M66" s="32"/>
      <c r="N66" s="1"/>
      <c r="O66" s="35"/>
      <c r="P66" s="1"/>
      <c r="R66" s="10"/>
    </row>
    <row r="67" customFormat="false" ht="15" hidden="false" customHeight="false" outlineLevel="0" collapsed="false">
      <c r="A67" s="1"/>
      <c r="D67" s="1"/>
      <c r="F67" s="1"/>
      <c r="G67" s="1"/>
      <c r="H67" s="1"/>
      <c r="I67" s="1"/>
      <c r="J67" s="1"/>
      <c r="K67" s="1"/>
      <c r="L67" s="32"/>
      <c r="M67" s="32"/>
      <c r="N67" s="1"/>
      <c r="O67" s="35"/>
      <c r="P67" s="1"/>
    </row>
    <row r="68" customFormat="false" ht="15" hidden="false" customHeight="false" outlineLevel="0" collapsed="false">
      <c r="A68" s="1"/>
      <c r="D68" s="1"/>
      <c r="G68" s="1"/>
      <c r="H68" s="1"/>
      <c r="J68" s="1"/>
      <c r="K68" s="1"/>
      <c r="M68" s="23"/>
      <c r="N68" s="1"/>
      <c r="O68" s="23"/>
      <c r="P68" s="1"/>
      <c r="R68" s="10"/>
    </row>
    <row r="69" customFormat="false" ht="15" hidden="false" customHeight="false" outlineLevel="0" collapsed="false">
      <c r="A69" s="1"/>
      <c r="D69" s="1"/>
      <c r="F69" s="1"/>
      <c r="G69" s="1"/>
      <c r="H69" s="1"/>
      <c r="I69" s="1"/>
      <c r="J69" s="1"/>
      <c r="K69" s="1"/>
      <c r="M69" s="23"/>
      <c r="N69" s="1"/>
      <c r="O69" s="23"/>
      <c r="P69" s="1"/>
      <c r="R69" s="10"/>
    </row>
    <row r="70" customFormat="false" ht="15" hidden="false" customHeight="false" outlineLevel="0" collapsed="false">
      <c r="A70" s="1"/>
      <c r="D70" s="1"/>
      <c r="F70" s="1"/>
      <c r="G70" s="1"/>
      <c r="H70" s="1"/>
      <c r="I70" s="1"/>
      <c r="J70" s="1"/>
      <c r="K70" s="1"/>
      <c r="M70" s="23"/>
      <c r="N70" s="1"/>
      <c r="O70" s="23"/>
      <c r="P70" s="1"/>
      <c r="R70" s="10"/>
    </row>
    <row r="71" customFormat="false" ht="15" hidden="false" customHeight="false" outlineLevel="0" collapsed="false">
      <c r="A71" s="1"/>
      <c r="D71" s="1"/>
      <c r="F71" s="1"/>
      <c r="G71" s="1"/>
      <c r="H71" s="1"/>
      <c r="I71" s="1"/>
      <c r="J71" s="1"/>
      <c r="K71" s="1"/>
      <c r="M71" s="23"/>
      <c r="N71" s="1"/>
      <c r="O71" s="23"/>
      <c r="P71" s="1"/>
      <c r="R71" s="10"/>
    </row>
    <row r="72" customFormat="false" ht="15" hidden="false" customHeight="false" outlineLevel="0" collapsed="false">
      <c r="A72" s="1"/>
      <c r="D72" s="1"/>
      <c r="F72" s="1"/>
      <c r="G72" s="1"/>
      <c r="H72" s="1"/>
      <c r="I72" s="1"/>
      <c r="J72" s="1"/>
      <c r="K72" s="1"/>
      <c r="M72" s="23"/>
      <c r="N72" s="1"/>
      <c r="O72" s="23"/>
      <c r="P72" s="1"/>
      <c r="R72" s="10"/>
    </row>
    <row r="73" customFormat="false" ht="15" hidden="false" customHeight="false" outlineLevel="0" collapsed="false">
      <c r="A73" s="1"/>
      <c r="D73" s="1"/>
      <c r="F73" s="1"/>
      <c r="G73" s="1"/>
      <c r="H73" s="1"/>
      <c r="I73" s="1"/>
      <c r="J73" s="1"/>
      <c r="K73" s="1"/>
      <c r="M73" s="23"/>
      <c r="N73" s="1"/>
      <c r="O73" s="23"/>
      <c r="P73" s="1"/>
      <c r="R73" s="10"/>
    </row>
    <row r="74" customFormat="false" ht="15" hidden="false" customHeight="false" outlineLevel="0" collapsed="false">
      <c r="A74" s="1"/>
      <c r="D74" s="1"/>
      <c r="F74" s="1"/>
      <c r="G74" s="1"/>
      <c r="H74" s="1"/>
      <c r="I74" s="1"/>
      <c r="J74" s="1"/>
      <c r="K74" s="1"/>
      <c r="M74" s="23"/>
      <c r="N74" s="1"/>
      <c r="O74" s="23"/>
      <c r="P74" s="1"/>
      <c r="R74" s="10"/>
    </row>
    <row r="75" customFormat="false" ht="15" hidden="false" customHeight="false" outlineLevel="0" collapsed="false">
      <c r="A75" s="1"/>
      <c r="D75" s="1"/>
      <c r="F75" s="1"/>
      <c r="G75" s="1"/>
      <c r="H75" s="1"/>
      <c r="I75" s="1"/>
      <c r="J75" s="1"/>
      <c r="K75" s="1"/>
      <c r="M75" s="23"/>
      <c r="N75" s="1"/>
      <c r="O75" s="23"/>
      <c r="P75" s="1"/>
      <c r="R75" s="10"/>
    </row>
    <row r="76" customFormat="false" ht="15" hidden="false" customHeight="false" outlineLevel="0" collapsed="false">
      <c r="A76" s="1"/>
      <c r="D76" s="1"/>
      <c r="F76" s="1"/>
      <c r="H76" s="1"/>
      <c r="I76" s="1"/>
      <c r="J76" s="1"/>
      <c r="K76" s="1"/>
      <c r="M76" s="23"/>
      <c r="N76" s="1"/>
      <c r="O76" s="23"/>
      <c r="P76" s="1"/>
      <c r="R76" s="10"/>
    </row>
    <row r="77" customFormat="false" ht="15" hidden="false" customHeight="false" outlineLevel="0" collapsed="false">
      <c r="A77" s="1"/>
      <c r="D77" s="1"/>
      <c r="F77" s="1"/>
      <c r="H77" s="1"/>
      <c r="I77" s="1"/>
      <c r="J77" s="1"/>
      <c r="K77" s="1"/>
      <c r="M77" s="23"/>
      <c r="N77" s="1"/>
      <c r="O77" s="23"/>
      <c r="P77" s="1"/>
      <c r="R77" s="10"/>
    </row>
    <row r="78" customFormat="false" ht="15" hidden="false" customHeight="false" outlineLevel="0" collapsed="false">
      <c r="A78" s="1"/>
      <c r="D78" s="1"/>
      <c r="F78" s="1"/>
      <c r="H78" s="1"/>
      <c r="I78" s="1"/>
      <c r="J78" s="1"/>
      <c r="K78" s="1"/>
      <c r="M78" s="23"/>
      <c r="N78" s="1"/>
      <c r="O78" s="23"/>
      <c r="P78" s="1"/>
      <c r="R78" s="10"/>
    </row>
    <row r="79" customFormat="false" ht="15" hidden="false" customHeight="false" outlineLevel="0" collapsed="false">
      <c r="A79" s="1"/>
      <c r="D79" s="1"/>
      <c r="F79" s="1"/>
      <c r="H79" s="1"/>
      <c r="I79" s="1"/>
      <c r="J79" s="1"/>
      <c r="K79" s="1"/>
      <c r="M79" s="23"/>
      <c r="N79" s="1"/>
      <c r="O79" s="23"/>
      <c r="P79" s="1"/>
      <c r="R79" s="10"/>
    </row>
    <row r="80" customFormat="false" ht="15" hidden="false" customHeight="false" outlineLevel="0" collapsed="false">
      <c r="A80" s="1"/>
      <c r="D80" s="1"/>
      <c r="F80" s="1"/>
      <c r="H80" s="1"/>
      <c r="I80" s="1"/>
      <c r="J80" s="1"/>
      <c r="K80" s="1"/>
      <c r="M80" s="23"/>
      <c r="N80" s="1"/>
      <c r="O80" s="23"/>
      <c r="P80" s="1"/>
      <c r="R80" s="10"/>
    </row>
    <row r="81" customFormat="false" ht="15" hidden="false" customHeight="false" outlineLevel="0" collapsed="false">
      <c r="A81" s="1"/>
      <c r="D81" s="1"/>
      <c r="F81" s="1"/>
      <c r="H81" s="1"/>
      <c r="I81" s="1"/>
      <c r="J81" s="1"/>
      <c r="K81" s="1"/>
      <c r="M81" s="23"/>
      <c r="N81" s="1"/>
      <c r="O81" s="23"/>
      <c r="P81" s="1"/>
      <c r="R81" s="10"/>
    </row>
    <row r="82" customFormat="false" ht="15" hidden="false" customHeight="false" outlineLevel="0" collapsed="false">
      <c r="A82" s="1"/>
      <c r="D82" s="1"/>
      <c r="F82" s="1"/>
      <c r="H82" s="1"/>
      <c r="I82" s="1"/>
      <c r="J82" s="1"/>
      <c r="K82" s="1"/>
      <c r="M82" s="23"/>
      <c r="N82" s="1"/>
      <c r="O82" s="23"/>
      <c r="P82" s="1"/>
      <c r="R82" s="10"/>
    </row>
    <row r="83" customFormat="false" ht="15" hidden="false" customHeight="false" outlineLevel="0" collapsed="false">
      <c r="A83" s="1"/>
      <c r="H83" s="1"/>
      <c r="J83" s="1"/>
      <c r="K83" s="1"/>
      <c r="N83" s="1"/>
      <c r="P83" s="1"/>
      <c r="R83" s="10"/>
    </row>
    <row r="84" customFormat="false" ht="15" hidden="false" customHeight="false" outlineLevel="0" collapsed="false">
      <c r="R84" s="10"/>
    </row>
    <row r="85" customFormat="false" ht="15" hidden="false" customHeight="false" outlineLevel="0" collapsed="false">
      <c r="R85" s="10"/>
    </row>
    <row r="86" customFormat="false" ht="15" hidden="false" customHeight="false" outlineLevel="0" collapsed="false">
      <c r="H86" s="1"/>
      <c r="J86" s="1"/>
      <c r="K86" s="1"/>
      <c r="N86" s="1"/>
      <c r="P86" s="1"/>
      <c r="R86" s="10"/>
    </row>
    <row r="87" customFormat="false" ht="15" hidden="false" customHeight="false" outlineLevel="0" collapsed="false">
      <c r="H87" s="1"/>
      <c r="J87" s="1"/>
      <c r="K87" s="1"/>
      <c r="N87" s="1"/>
      <c r="P87" s="1"/>
      <c r="R87" s="10"/>
    </row>
    <row r="88" customFormat="false" ht="15" hidden="false" customHeight="false" outlineLevel="0" collapsed="false">
      <c r="H88" s="1"/>
      <c r="J88" s="1"/>
      <c r="K88" s="1"/>
      <c r="N88" s="1"/>
      <c r="P88" s="1"/>
      <c r="R88" s="10"/>
    </row>
    <row r="89" customFormat="false" ht="15" hidden="false" customHeight="false" outlineLevel="0" collapsed="false">
      <c r="H89" s="1"/>
      <c r="J89" s="1"/>
      <c r="K89" s="1"/>
      <c r="N89" s="1"/>
      <c r="P89" s="1"/>
      <c r="R89" s="10"/>
    </row>
    <row r="90" customFormat="false" ht="15" hidden="false" customHeight="false" outlineLevel="0" collapsed="false">
      <c r="H90" s="1"/>
      <c r="J90" s="1"/>
      <c r="K90" s="1"/>
      <c r="N90" s="1"/>
      <c r="P90" s="1"/>
      <c r="R90" s="10"/>
    </row>
    <row r="91" customFormat="false" ht="15" hidden="false" customHeight="false" outlineLevel="0" collapsed="false">
      <c r="H91" s="1"/>
      <c r="J91" s="1"/>
      <c r="K91" s="1"/>
      <c r="N91" s="1"/>
      <c r="P91" s="1"/>
      <c r="R91" s="10"/>
    </row>
    <row r="92" customFormat="false" ht="15" hidden="false" customHeight="false" outlineLevel="0" collapsed="false">
      <c r="H92" s="1"/>
      <c r="J92" s="1"/>
      <c r="K92" s="1"/>
      <c r="P92" s="1"/>
      <c r="R92" s="10"/>
    </row>
    <row r="93" customFormat="false" ht="15" hidden="false" customHeight="false" outlineLevel="0" collapsed="false">
      <c r="P93" s="1"/>
      <c r="R93" s="10"/>
    </row>
    <row r="94" customFormat="false" ht="15" hidden="false" customHeight="false" outlineLevel="0" collapsed="false">
      <c r="H94" s="1"/>
      <c r="I94" s="1"/>
      <c r="J94" s="1"/>
      <c r="K94" s="1"/>
      <c r="N94" s="3"/>
      <c r="R94" s="10"/>
    </row>
    <row r="95" customFormat="false" ht="15" hidden="false" customHeight="false" outlineLevel="0" collapsed="false">
      <c r="H95" s="1"/>
      <c r="I95" s="1"/>
      <c r="J95" s="1"/>
      <c r="K95" s="1"/>
      <c r="N95" s="3"/>
      <c r="R95" s="10"/>
    </row>
    <row r="96" customFormat="false" ht="15" hidden="false" customHeight="false" outlineLevel="0" collapsed="false">
      <c r="H96" s="1"/>
      <c r="I96" s="1"/>
    </row>
    <row r="97" customFormat="false" ht="15" hidden="false" customHeight="false" outlineLevel="0" collapsed="false">
      <c r="I97" s="1"/>
    </row>
  </sheetData>
  <conditionalFormatting sqref="N39:N50 G46:G48">
    <cfRule type="containsText" priority="2" operator="containsText" aboveAverage="0" equalAverage="0" bottom="0" percent="0" rank="0" text="a montar" dxfId="2785">
      <formula>NOT(ISERROR(SEARCH("a montar",G39)))</formula>
    </cfRule>
    <cfRule type="containsText" priority="3" operator="containsText" aboveAverage="0" equalAverage="0" bottom="0" percent="0" rank="0" text="a serrar" dxfId="2786">
      <formula>NOT(ISERROR(SEARCH("a serrar",G39)))</formula>
    </cfRule>
    <cfRule type="containsText" priority="4" operator="containsText" aboveAverage="0" equalAverage="0" bottom="0" percent="0" rank="0" text="pronto" dxfId="2787">
      <formula>NOT(ISERROR(SEARCH("pronto",G39)))</formula>
    </cfRule>
    <cfRule type="containsText" priority="5" operator="containsText" aboveAverage="0" equalAverage="0" bottom="0" percent="0" rank="0" text="empreita" dxfId="2788">
      <formula>NOT(ISERROR(SEARCH("empreita",G39)))</formula>
    </cfRule>
    <cfRule type="containsText" priority="6" operator="containsText" aboveAverage="0" equalAverage="0" bottom="0" percent="0" rank="0" text="previsto" dxfId="2789">
      <formula>NOT(ISERROR(SEARCH("previsto",G39)))</formula>
    </cfRule>
    <cfRule type="containsText" priority="7" operator="containsText" aboveAverage="0" equalAverage="0" bottom="0" percent="0" rank="0" text="produzindo" dxfId="2790">
      <formula>NOT(ISERROR(SEARCH("produzindo",G39)))</formula>
    </cfRule>
    <cfRule type="containsText" priority="8" operator="containsText" aboveAverage="0" equalAverage="0" bottom="0" percent="0" rank="0" text="material ok" dxfId="2791">
      <formula>NOT(ISERROR(SEARCH("material ok",G39)))</formula>
    </cfRule>
  </conditionalFormatting>
  <conditionalFormatting sqref="N21:N25">
    <cfRule type="containsText" priority="9" operator="containsText" aboveAverage="0" equalAverage="0" bottom="0" percent="0" rank="0" text="a montar" dxfId="2792">
      <formula>NOT(ISERROR(SEARCH("a montar",N21)))</formula>
    </cfRule>
    <cfRule type="containsText" priority="10" operator="containsText" aboveAverage="0" equalAverage="0" bottom="0" percent="0" rank="0" text="a serrar" dxfId="2793">
      <formula>NOT(ISERROR(SEARCH("a serrar",N21)))</formula>
    </cfRule>
    <cfRule type="containsText" priority="11" operator="containsText" aboveAverage="0" equalAverage="0" bottom="0" percent="0" rank="0" text="pronto" dxfId="2794">
      <formula>NOT(ISERROR(SEARCH("pronto",N21)))</formula>
    </cfRule>
    <cfRule type="containsText" priority="12" operator="containsText" aboveAverage="0" equalAverage="0" bottom="0" percent="0" rank="0" text="empreita" dxfId="2795">
      <formula>NOT(ISERROR(SEARCH("empreita",N21)))</formula>
    </cfRule>
    <cfRule type="containsText" priority="13" operator="containsText" aboveAverage="0" equalAverage="0" bottom="0" percent="0" rank="0" text="previsto" dxfId="2796">
      <formula>NOT(ISERROR(SEARCH("previsto",N21)))</formula>
    </cfRule>
    <cfRule type="containsText" priority="14" operator="containsText" aboveAverage="0" equalAverage="0" bottom="0" percent="0" rank="0" text="produzindo" dxfId="2797">
      <formula>NOT(ISERROR(SEARCH("produzindo",N21)))</formula>
    </cfRule>
    <cfRule type="containsText" priority="15" operator="containsText" aboveAverage="0" equalAverage="0" bottom="0" percent="0" rank="0" text="material ok" dxfId="2798">
      <formula>NOT(ISERROR(SEARCH("material ok",N21)))</formula>
    </cfRule>
  </conditionalFormatting>
  <conditionalFormatting sqref="N32:N35">
    <cfRule type="containsText" priority="16" operator="containsText" aboveAverage="0" equalAverage="0" bottom="0" percent="0" rank="0" text="a serrar" dxfId="2799">
      <formula>NOT(ISERROR(SEARCH("a serrar",N32)))</formula>
    </cfRule>
    <cfRule type="containsText" priority="17" operator="containsText" aboveAverage="0" equalAverage="0" bottom="0" percent="0" rank="0" text="pronto" dxfId="2800">
      <formula>NOT(ISERROR(SEARCH("pronto",N32)))</formula>
    </cfRule>
    <cfRule type="containsText" priority="18" operator="containsText" aboveAverage="0" equalAverage="0" bottom="0" percent="0" rank="0" text="empreita" dxfId="2801">
      <formula>NOT(ISERROR(SEARCH("empreita",N32)))</formula>
    </cfRule>
    <cfRule type="containsText" priority="19" operator="containsText" aboveAverage="0" equalAverage="0" bottom="0" percent="0" rank="0" text="previsto" dxfId="2802">
      <formula>NOT(ISERROR(SEARCH("previsto",N32)))</formula>
    </cfRule>
    <cfRule type="containsText" priority="20" operator="containsText" aboveAverage="0" equalAverage="0" bottom="0" percent="0" rank="0" text="produzindo" dxfId="2803">
      <formula>NOT(ISERROR(SEARCH("produzindo",N32)))</formula>
    </cfRule>
    <cfRule type="containsText" priority="21" operator="containsText" aboveAverage="0" equalAverage="0" bottom="0" percent="0" rank="0" text="material ok" dxfId="2804">
      <formula>NOT(ISERROR(SEARCH("material ok",N32)))</formula>
    </cfRule>
    <cfRule type="containsText" priority="22" operator="containsText" aboveAverage="0" equalAverage="0" bottom="0" percent="0" rank="0" text="a montar" dxfId="2805">
      <formula>NOT(ISERROR(SEARCH("a montar",N32)))</formula>
    </cfRule>
  </conditionalFormatting>
  <conditionalFormatting sqref="N37">
    <cfRule type="containsText" priority="23" operator="containsText" aboveAverage="0" equalAverage="0" bottom="0" percent="0" rank="0" text="a montar" dxfId="2806">
      <formula>NOT(ISERROR(SEARCH("a montar",N37)))</formula>
    </cfRule>
    <cfRule type="containsText" priority="24" operator="containsText" aboveAverage="0" equalAverage="0" bottom="0" percent="0" rank="0" text="a serrar" dxfId="2807">
      <formula>NOT(ISERROR(SEARCH("a serrar",N37)))</formula>
    </cfRule>
    <cfRule type="containsText" priority="25" operator="containsText" aboveAverage="0" equalAverage="0" bottom="0" percent="0" rank="0" text="pronto" dxfId="2808">
      <formula>NOT(ISERROR(SEARCH("pronto",N37)))</formula>
    </cfRule>
    <cfRule type="containsText" priority="26" operator="containsText" aboveAverage="0" equalAverage="0" bottom="0" percent="0" rank="0" text="empreita" dxfId="2809">
      <formula>NOT(ISERROR(SEARCH("empreita",N37)))</formula>
    </cfRule>
    <cfRule type="containsText" priority="27" operator="containsText" aboveAverage="0" equalAverage="0" bottom="0" percent="0" rank="0" text="previsto" dxfId="2810">
      <formula>NOT(ISERROR(SEARCH("previsto",N37)))</formula>
    </cfRule>
    <cfRule type="containsText" priority="28" operator="containsText" aboveAverage="0" equalAverage="0" bottom="0" percent="0" rank="0" text="produzindo" dxfId="2811">
      <formula>NOT(ISERROR(SEARCH("produzindo",N37)))</formula>
    </cfRule>
    <cfRule type="containsText" priority="29" operator="containsText" aboveAverage="0" equalAverage="0" bottom="0" percent="0" rank="0" text="material ok" dxfId="2812">
      <formula>NOT(ISERROR(SEARCH("material ok",N37)))</formula>
    </cfRule>
  </conditionalFormatting>
  <conditionalFormatting sqref="N30">
    <cfRule type="containsText" priority="30" operator="containsText" aboveAverage="0" equalAverage="0" bottom="0" percent="0" rank="0" text="a serrar" dxfId="2813">
      <formula>NOT(ISERROR(SEARCH("a serrar",N30)))</formula>
    </cfRule>
    <cfRule type="containsText" priority="31" operator="containsText" aboveAverage="0" equalAverage="0" bottom="0" percent="0" rank="0" text="pronto" dxfId="2814">
      <formula>NOT(ISERROR(SEARCH("pronto",N30)))</formula>
    </cfRule>
    <cfRule type="containsText" priority="32" operator="containsText" aboveAverage="0" equalAverage="0" bottom="0" percent="0" rank="0" text="empreita" dxfId="2815">
      <formula>NOT(ISERROR(SEARCH("empreita",N30)))</formula>
    </cfRule>
    <cfRule type="containsText" priority="33" operator="containsText" aboveAverage="0" equalAverage="0" bottom="0" percent="0" rank="0" text="previsto" dxfId="2816">
      <formula>NOT(ISERROR(SEARCH("previsto",N30)))</formula>
    </cfRule>
    <cfRule type="containsText" priority="34" operator="containsText" aboveAverage="0" equalAverage="0" bottom="0" percent="0" rank="0" text="produzindo" dxfId="2817">
      <formula>NOT(ISERROR(SEARCH("produzindo",N30)))</formula>
    </cfRule>
    <cfRule type="containsText" priority="35" operator="containsText" aboveAverage="0" equalAverage="0" bottom="0" percent="0" rank="0" text="material ok" dxfId="2818">
      <formula>NOT(ISERROR(SEARCH("material ok",N30)))</formula>
    </cfRule>
  </conditionalFormatting>
  <conditionalFormatting sqref="N27:N35">
    <cfRule type="containsText" priority="36" operator="containsText" aboveAverage="0" equalAverage="0" bottom="0" percent="0" rank="0" text="a montar" dxfId="2819">
      <formula>NOT(ISERROR(SEARCH("a montar",N27)))</formula>
    </cfRule>
  </conditionalFormatting>
  <conditionalFormatting sqref="N27:N29">
    <cfRule type="containsText" priority="37" operator="containsText" aboveAverage="0" equalAverage="0" bottom="0" percent="0" rank="0" text="a serrar" dxfId="2820">
      <formula>NOT(ISERROR(SEARCH("a serrar",N27)))</formula>
    </cfRule>
    <cfRule type="containsText" priority="38" operator="containsText" aboveAverage="0" equalAverage="0" bottom="0" percent="0" rank="0" text="pronto" dxfId="2821">
      <formula>NOT(ISERROR(SEARCH("pronto",N27)))</formula>
    </cfRule>
    <cfRule type="containsText" priority="39" operator="containsText" aboveAverage="0" equalAverage="0" bottom="0" percent="0" rank="0" text="empreita" dxfId="2822">
      <formula>NOT(ISERROR(SEARCH("empreita",N27)))</formula>
    </cfRule>
    <cfRule type="containsText" priority="40" operator="containsText" aboveAverage="0" equalAverage="0" bottom="0" percent="0" rank="0" text="previsto" dxfId="2823">
      <formula>NOT(ISERROR(SEARCH("previsto",N27)))</formula>
    </cfRule>
    <cfRule type="containsText" priority="41" operator="containsText" aboveAverage="0" equalAverage="0" bottom="0" percent="0" rank="0" text="produzindo" dxfId="2824">
      <formula>NOT(ISERROR(SEARCH("produzindo",N27)))</formula>
    </cfRule>
    <cfRule type="containsText" priority="42" operator="containsText" aboveAverage="0" equalAverage="0" bottom="0" percent="0" rank="0" text="material ok" dxfId="2825">
      <formula>NOT(ISERROR(SEARCH("material ok",N27)))</formula>
    </cfRule>
  </conditionalFormatting>
  <conditionalFormatting sqref="N12:N19">
    <cfRule type="containsText" priority="43" operator="containsText" aboveAverage="0" equalAverage="0" bottom="0" percent="0" rank="0" text="a montar" dxfId="2826">
      <formula>NOT(ISERROR(SEARCH("a montar",N12)))</formula>
    </cfRule>
    <cfRule type="containsText" priority="44" operator="containsText" aboveAverage="0" equalAverage="0" bottom="0" percent="0" rank="0" text="a serrar" dxfId="2827">
      <formula>NOT(ISERROR(SEARCH("a serrar",N12)))</formula>
    </cfRule>
    <cfRule type="containsText" priority="45" operator="containsText" aboveAverage="0" equalAverage="0" bottom="0" percent="0" rank="0" text="pronto" dxfId="2828">
      <formula>NOT(ISERROR(SEARCH("pronto",N12)))</formula>
    </cfRule>
    <cfRule type="containsText" priority="46" operator="containsText" aboveAverage="0" equalAverage="0" bottom="0" percent="0" rank="0" text="empreita" dxfId="2829">
      <formula>NOT(ISERROR(SEARCH("empreita",N12)))</formula>
    </cfRule>
    <cfRule type="containsText" priority="47" operator="containsText" aboveAverage="0" equalAverage="0" bottom="0" percent="0" rank="0" text="previsto" dxfId="2830">
      <formula>NOT(ISERROR(SEARCH("previsto",N12)))</formula>
    </cfRule>
    <cfRule type="containsText" priority="48" operator="containsText" aboveAverage="0" equalAverage="0" bottom="0" percent="0" rank="0" text="produzindo" dxfId="2831">
      <formula>NOT(ISERROR(SEARCH("produzindo",N12)))</formula>
    </cfRule>
    <cfRule type="containsText" priority="49" operator="containsText" aboveAverage="0" equalAverage="0" bottom="0" percent="0" rank="0" text="material ok" dxfId="2832">
      <formula>NOT(ISERROR(SEARCH("material ok",N12)))</formula>
    </cfRule>
  </conditionalFormatting>
  <conditionalFormatting sqref="N8:N10">
    <cfRule type="containsText" priority="50" operator="containsText" aboveAverage="0" equalAverage="0" bottom="0" percent="0" rank="0" text="a montar" dxfId="2833">
      <formula>NOT(ISERROR(SEARCH("a montar",N8)))</formula>
    </cfRule>
    <cfRule type="containsText" priority="51" operator="containsText" aboveAverage="0" equalAverage="0" bottom="0" percent="0" rank="0" text="a serrar" dxfId="2834">
      <formula>NOT(ISERROR(SEARCH("a serrar",N8)))</formula>
    </cfRule>
    <cfRule type="containsText" priority="52" operator="containsText" aboveAverage="0" equalAverage="0" bottom="0" percent="0" rank="0" text="pronto" dxfId="2835">
      <formula>NOT(ISERROR(SEARCH("pronto",N8)))</formula>
    </cfRule>
    <cfRule type="containsText" priority="53" operator="containsText" aboveAverage="0" equalAverage="0" bottom="0" percent="0" rank="0" text="empreita" dxfId="2836">
      <formula>NOT(ISERROR(SEARCH("empreita",N8)))</formula>
    </cfRule>
    <cfRule type="containsText" priority="54" operator="containsText" aboveAverage="0" equalAverage="0" bottom="0" percent="0" rank="0" text="previsto" dxfId="2837">
      <formula>NOT(ISERROR(SEARCH("previsto",N8)))</formula>
    </cfRule>
    <cfRule type="containsText" priority="55" operator="containsText" aboveAverage="0" equalAverage="0" bottom="0" percent="0" rank="0" text="produzindo" dxfId="2838">
      <formula>NOT(ISERROR(SEARCH("produzindo",N8)))</formula>
    </cfRule>
    <cfRule type="containsText" priority="56" operator="containsText" aboveAverage="0" equalAverage="0" bottom="0" percent="0" rank="0" text="material ok" dxfId="2839">
      <formula>NOT(ISERROR(SEARCH("material ok",N8)))</formula>
    </cfRule>
  </conditionalFormatting>
  <conditionalFormatting sqref="N5:N6">
    <cfRule type="containsText" priority="57" operator="containsText" aboveAverage="0" equalAverage="0" bottom="0" percent="0" rank="0" text="a montar" dxfId="2840">
      <formula>NOT(ISERROR(SEARCH("a montar",N5)))</formula>
    </cfRule>
    <cfRule type="containsText" priority="58" operator="containsText" aboveAverage="0" equalAverage="0" bottom="0" percent="0" rank="0" text="a serrar" dxfId="2841">
      <formula>NOT(ISERROR(SEARCH("a serrar",N5)))</formula>
    </cfRule>
    <cfRule type="containsText" priority="59" operator="containsText" aboveAverage="0" equalAverage="0" bottom="0" percent="0" rank="0" text="pronto" dxfId="2842">
      <formula>NOT(ISERROR(SEARCH("pronto",N5)))</formula>
    </cfRule>
    <cfRule type="containsText" priority="60" operator="containsText" aboveAverage="0" equalAverage="0" bottom="0" percent="0" rank="0" text="empreita" dxfId="2843">
      <formula>NOT(ISERROR(SEARCH("empreita",N5)))</formula>
    </cfRule>
    <cfRule type="containsText" priority="61" operator="containsText" aboveAverage="0" equalAverage="0" bottom="0" percent="0" rank="0" text="previsto" dxfId="2844">
      <formula>NOT(ISERROR(SEARCH("previsto",N5)))</formula>
    </cfRule>
    <cfRule type="containsText" priority="62" operator="containsText" aboveAverage="0" equalAverage="0" bottom="0" percent="0" rank="0" text="produzindo" dxfId="2845">
      <formula>NOT(ISERROR(SEARCH("produzindo",N5)))</formula>
    </cfRule>
    <cfRule type="containsText" priority="63" operator="containsText" aboveAverage="0" equalAverage="0" bottom="0" percent="0" rank="0" text="material ok" dxfId="2846">
      <formula>NOT(ISERROR(SEARCH("material ok",N5)))</formula>
    </cfRule>
  </conditionalFormatting>
  <conditionalFormatting sqref="M1">
    <cfRule type="containsText" priority="64" operator="containsText" aboveAverage="0" equalAverage="0" bottom="0" percent="0" rank="0" text="a montar" dxfId="2847">
      <formula>NOT(ISERROR(SEARCH("a montar",M1)))</formula>
    </cfRule>
    <cfRule type="containsText" priority="65" operator="containsText" aboveAverage="0" equalAverage="0" bottom="0" percent="0" rank="0" text="a serrar" dxfId="2848">
      <formula>NOT(ISERROR(SEARCH("a serrar",M1)))</formula>
    </cfRule>
    <cfRule type="containsText" priority="66" operator="containsText" aboveAverage="0" equalAverage="0" bottom="0" percent="0" rank="0" text="pronto" dxfId="2849">
      <formula>NOT(ISERROR(SEARCH("pronto",M1)))</formula>
    </cfRule>
    <cfRule type="containsText" priority="67" operator="containsText" aboveAverage="0" equalAverage="0" bottom="0" percent="0" rank="0" text="empreita" dxfId="2850">
      <formula>NOT(ISERROR(SEARCH("empreita",M1)))</formula>
    </cfRule>
    <cfRule type="containsText" priority="68" operator="containsText" aboveAverage="0" equalAverage="0" bottom="0" percent="0" rank="0" text="previsto" dxfId="2851">
      <formula>NOT(ISERROR(SEARCH("previsto",M1)))</formula>
    </cfRule>
    <cfRule type="containsText" priority="69" operator="containsText" aboveAverage="0" equalAverage="0" bottom="0" percent="0" rank="0" text="produzindo" dxfId="2852">
      <formula>NOT(ISERROR(SEARCH("produzindo",M1)))</formula>
    </cfRule>
    <cfRule type="containsText" priority="70" operator="containsText" aboveAverage="0" equalAverage="0" bottom="0" percent="0" rank="0" text="material ok" dxfId="2853">
      <formula>NOT(ISERROR(SEARCH("material ok",M1)))</formula>
    </cfRule>
  </conditionalFormatting>
  <conditionalFormatting sqref="J1 N52:N56">
    <cfRule type="containsText" priority="71" operator="containsText" aboveAverage="0" equalAverage="0" bottom="0" percent="0" rank="0" text="a montar" dxfId="2854">
      <formula>NOT(ISERROR(SEARCH("a montar",J1)))</formula>
    </cfRule>
    <cfRule type="containsText" priority="72" operator="containsText" aboveAverage="0" equalAverage="0" bottom="0" percent="0" rank="0" text="a serrar" dxfId="2855">
      <formula>NOT(ISERROR(SEARCH("a serrar",J1)))</formula>
    </cfRule>
    <cfRule type="containsText" priority="73" operator="containsText" aboveAverage="0" equalAverage="0" bottom="0" percent="0" rank="0" text="pronto" dxfId="2856">
      <formula>NOT(ISERROR(SEARCH("pronto",J1)))</formula>
    </cfRule>
    <cfRule type="containsText" priority="74" operator="containsText" aboveAverage="0" equalAverage="0" bottom="0" percent="0" rank="0" text="empreita" dxfId="2857">
      <formula>NOT(ISERROR(SEARCH("empreita",J1)))</formula>
    </cfRule>
    <cfRule type="containsText" priority="75" operator="containsText" aboveAverage="0" equalAverage="0" bottom="0" percent="0" rank="0" text="previsto" dxfId="2858">
      <formula>NOT(ISERROR(SEARCH("previsto",J1)))</formula>
    </cfRule>
    <cfRule type="containsText" priority="76" operator="containsText" aboveAverage="0" equalAverage="0" bottom="0" percent="0" rank="0" text="produzindo" dxfId="2859">
      <formula>NOT(ISERROR(SEARCH("produzindo",J1)))</formula>
    </cfRule>
    <cfRule type="containsText" priority="77" operator="containsText" aboveAverage="0" equalAverage="0" bottom="0" percent="0" rank="0" text="material ok" dxfId="2860">
      <formula>NOT(ISERROR(SEARCH("material ok",J1)))</formula>
    </cfRule>
  </conditionalFormatting>
  <conditionalFormatting sqref="N1:N3">
    <cfRule type="containsText" priority="78" operator="containsText" aboveAverage="0" equalAverage="0" bottom="0" percent="0" rank="0" text="a montar" dxfId="2861">
      <formula>NOT(ISERROR(SEARCH("a montar",N1)))</formula>
    </cfRule>
    <cfRule type="containsText" priority="79" operator="containsText" aboveAverage="0" equalAverage="0" bottom="0" percent="0" rank="0" text="a serrar" dxfId="2862">
      <formula>NOT(ISERROR(SEARCH("a serrar",N1)))</formula>
    </cfRule>
    <cfRule type="containsText" priority="80" operator="containsText" aboveAverage="0" equalAverage="0" bottom="0" percent="0" rank="0" text="pronto" dxfId="2863">
      <formula>NOT(ISERROR(SEARCH("pronto",N1)))</formula>
    </cfRule>
    <cfRule type="containsText" priority="81" operator="containsText" aboveAverage="0" equalAverage="0" bottom="0" percent="0" rank="0" text="empreita" dxfId="2864">
      <formula>NOT(ISERROR(SEARCH("empreita",N1)))</formula>
    </cfRule>
    <cfRule type="containsText" priority="82" operator="containsText" aboveAverage="0" equalAverage="0" bottom="0" percent="0" rank="0" text="previsto" dxfId="2865">
      <formula>NOT(ISERROR(SEARCH("previsto",N1)))</formula>
    </cfRule>
    <cfRule type="containsText" priority="83" operator="containsText" aboveAverage="0" equalAverage="0" bottom="0" percent="0" rank="0" text="produzindo" dxfId="2866">
      <formula>NOT(ISERROR(SEARCH("produzindo",N1)))</formula>
    </cfRule>
    <cfRule type="containsText" priority="84" operator="containsText" aboveAverage="0" equalAverage="0" bottom="0" percent="0" rank="0" text="material ok" dxfId="2867">
      <formula>NOT(ISERROR(SEARCH("material ok",N1)))</formula>
    </cfRule>
  </conditionalFormatting>
  <conditionalFormatting sqref="N58:N60 N62">
    <cfRule type="containsText" priority="85" operator="containsText" aboveAverage="0" equalAverage="0" bottom="0" percent="0" rank="0" text="a montar" dxfId="2868">
      <formula>NOT(ISERROR(SEARCH("a montar",N58)))</formula>
    </cfRule>
  </conditionalFormatting>
  <conditionalFormatting sqref="N64:N83 N86:N91">
    <cfRule type="containsText" priority="86" operator="containsText" aboveAverage="0" equalAverage="0" bottom="0" percent="0" rank="0" text="a montar" dxfId="2869">
      <formula>NOT(ISERROR(SEARCH("a montar",N64)))</formula>
    </cfRule>
  </conditionalFormatting>
  <conditionalFormatting sqref="N64:N83 N86:N91 N32:N35">
    <cfRule type="containsText" priority="87" operator="containsText" aboveAverage="0" equalAverage="0" bottom="0" percent="0" rank="0" text="a serrar" dxfId="2870">
      <formula>NOT(ISERROR(SEARCH("a serrar",N32)))</formula>
    </cfRule>
  </conditionalFormatting>
  <conditionalFormatting sqref="N32:N35 N64:N83 N86:N91">
    <cfRule type="containsText" priority="88" operator="containsText" aboveAverage="0" equalAverage="0" bottom="0" percent="0" rank="0" text="pronto" dxfId="2871">
      <formula>NOT(ISERROR(SEARCH("pronto",N32)))</formula>
    </cfRule>
    <cfRule type="containsText" priority="89" operator="containsText" aboveAverage="0" equalAverage="0" bottom="0" percent="0" rank="0" text="empreita" dxfId="2872">
      <formula>NOT(ISERROR(SEARCH("empreita",N32)))</formula>
    </cfRule>
    <cfRule type="containsText" priority="90" operator="containsText" aboveAverage="0" equalAverage="0" bottom="0" percent="0" rank="0" text="previsto" dxfId="2873">
      <formula>NOT(ISERROR(SEARCH("previsto",N32)))</formula>
    </cfRule>
    <cfRule type="containsText" priority="91" operator="containsText" aboveAverage="0" equalAverage="0" bottom="0" percent="0" rank="0" text="produzindo" dxfId="2874">
      <formula>NOT(ISERROR(SEARCH("produzindo",N32)))</formula>
    </cfRule>
    <cfRule type="containsText" priority="92" operator="containsText" aboveAverage="0" equalAverage="0" bottom="0" percent="0" rank="0" text="material ok" dxfId="2875">
      <formula>NOT(ISERROR(SEARCH("material ok",N32)))</formula>
    </cfRule>
  </conditionalFormatting>
  <conditionalFormatting sqref="N28:N35 N58:N60 N62">
    <cfRule type="containsText" priority="93" operator="containsText" aboveAverage="0" equalAverage="0" bottom="0" percent="0" rank="0" text="a serrar" dxfId="2876">
      <formula>NOT(ISERROR(SEARCH("a serrar",N28)))</formula>
    </cfRule>
    <cfRule type="containsText" priority="94" operator="containsText" aboveAverage="0" equalAverage="0" bottom="0" percent="0" rank="0" text="pronto" dxfId="2877">
      <formula>NOT(ISERROR(SEARCH("pronto",N28)))</formula>
    </cfRule>
    <cfRule type="containsText" priority="95" operator="containsText" aboveAverage="0" equalAverage="0" bottom="0" percent="0" rank="0" text="empreita" dxfId="2878">
      <formula>NOT(ISERROR(SEARCH("empreita",N28)))</formula>
    </cfRule>
    <cfRule type="containsText" priority="96" operator="containsText" aboveAverage="0" equalAverage="0" bottom="0" percent="0" rank="0" text="previsto" dxfId="2879">
      <formula>NOT(ISERROR(SEARCH("previsto",N28)))</formula>
    </cfRule>
    <cfRule type="containsText" priority="97" operator="containsText" aboveAverage="0" equalAverage="0" bottom="0" percent="0" rank="0" text="produzindo" dxfId="2880">
      <formula>NOT(ISERROR(SEARCH("produzindo",N28)))</formula>
    </cfRule>
    <cfRule type="containsText" priority="98" operator="containsText" aboveAverage="0" equalAverage="0" bottom="0" percent="0" rank="0" text="material ok" dxfId="2881">
      <formula>NOT(ISERROR(SEARCH("material ok",N28)))</formula>
    </cfRule>
  </conditionalFormatting>
  <conditionalFormatting sqref="N94:N95">
    <cfRule type="containsText" priority="99" operator="containsText" aboveAverage="0" equalAverage="0" bottom="0" percent="0" rank="0" text="a montar" dxfId="2882">
      <formula>NOT(ISERROR(SEARCH("a montar",N94)))</formula>
    </cfRule>
    <cfRule type="containsText" priority="100" operator="containsText" aboveAverage="0" equalAverage="0" bottom="0" percent="0" rank="0" text="a serrar" dxfId="2883">
      <formula>NOT(ISERROR(SEARCH("a serrar",N94)))</formula>
    </cfRule>
    <cfRule type="containsText" priority="101" operator="containsText" aboveAverage="0" equalAverage="0" bottom="0" percent="0" rank="0" text="pronto" dxfId="2884">
      <formula>NOT(ISERROR(SEARCH("pronto",N94)))</formula>
    </cfRule>
    <cfRule type="containsText" priority="102" operator="containsText" aboveAverage="0" equalAverage="0" bottom="0" percent="0" rank="0" text="empreita" dxfId="2885">
      <formula>NOT(ISERROR(SEARCH("empreita",N94)))</formula>
    </cfRule>
    <cfRule type="containsText" priority="103" operator="containsText" aboveAverage="0" equalAverage="0" bottom="0" percent="0" rank="0" text="previsto" dxfId="2886">
      <formula>NOT(ISERROR(SEARCH("previsto",N94)))</formula>
    </cfRule>
    <cfRule type="containsText" priority="104" operator="containsText" aboveAverage="0" equalAverage="0" bottom="0" percent="0" rank="0" text="produzindo" dxfId="2887">
      <formula>NOT(ISERROR(SEARCH("produzindo",N94)))</formula>
    </cfRule>
    <cfRule type="containsText" priority="105" operator="containsText" aboveAverage="0" equalAverage="0" bottom="0" percent="0" rank="0" text="material ok" dxfId="2888">
      <formula>NOT(ISERROR(SEARCH("material ok",N94)))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24" activeCellId="0" sqref="M24"/>
    </sheetView>
  </sheetViews>
  <sheetFormatPr defaultColWidth="8.59765625" defaultRowHeight="15" customHeight="false" zeroHeight="false" outlineLevelRow="0" outlineLevelCol="0"/>
  <cols>
    <col collapsed="false" customWidth="true" hidden="false" outlineLevel="0" max="4" min="4" style="0" width="11.72"/>
    <col collapsed="false" customWidth="true" hidden="false" outlineLevel="0" max="5" min="5" style="0" width="11.15"/>
    <col collapsed="false" customWidth="true" hidden="false" outlineLevel="0" max="6" min="6" style="0" width="14"/>
    <col collapsed="false" customWidth="true" hidden="false" outlineLevel="0" max="7" min="7" style="0" width="13.57"/>
    <col collapsed="false" customWidth="true" hidden="false" outlineLevel="0" max="8" min="8" style="0" width="13.43"/>
    <col collapsed="false" customWidth="true" hidden="false" outlineLevel="0" max="9" min="9" style="0" width="11.43"/>
    <col collapsed="false" customWidth="true" hidden="false" outlineLevel="0" max="10" min="10" style="0" width="11.72"/>
    <col collapsed="false" customWidth="true" hidden="false" outlineLevel="0" max="11" min="11" style="0" width="20.43"/>
    <col collapsed="false" customWidth="true" hidden="false" outlineLevel="0" max="13" min="13" style="0" width="13.14"/>
    <col collapsed="false" customWidth="true" hidden="false" outlineLevel="0" max="16" min="16" style="0" width="11.28"/>
  </cols>
  <sheetData>
    <row r="1" customFormat="false" ht="15" hidden="false" customHeight="false" outlineLevel="0" collapsed="false">
      <c r="A1" s="1"/>
      <c r="P1" s="69"/>
    </row>
    <row r="2" customFormat="false" ht="17.35" hidden="false" customHeight="false" outlineLevel="0" collapsed="false">
      <c r="A2" s="70" t="s">
        <v>491</v>
      </c>
      <c r="B2" s="70"/>
      <c r="C2" s="70"/>
      <c r="D2" s="70"/>
      <c r="E2" s="70"/>
      <c r="F2" s="70"/>
      <c r="G2" s="70"/>
      <c r="H2" s="70"/>
      <c r="I2" s="70"/>
      <c r="J2" s="70"/>
      <c r="K2" s="70"/>
      <c r="P2" s="69"/>
    </row>
    <row r="3" customFormat="false" ht="15" hidden="false" customHeight="false" outlineLevel="0" collapsed="false">
      <c r="A3" s="1"/>
      <c r="P3" s="69"/>
    </row>
    <row r="4" customFormat="false" ht="15" hidden="false" customHeight="false" outlineLevel="0" collapsed="false">
      <c r="A4" s="71" t="s">
        <v>492</v>
      </c>
      <c r="B4" s="71"/>
      <c r="C4" s="71"/>
      <c r="D4" s="71"/>
      <c r="E4" s="71"/>
      <c r="F4" s="71"/>
      <c r="G4" s="71"/>
      <c r="H4" s="71"/>
      <c r="I4" s="71"/>
      <c r="J4" s="71"/>
      <c r="K4" s="71"/>
      <c r="M4" s="72" t="s">
        <v>493</v>
      </c>
      <c r="N4" s="72"/>
      <c r="O4" s="72"/>
      <c r="P4" s="72"/>
      <c r="Q4" s="72"/>
      <c r="R4" s="72"/>
    </row>
    <row r="5" customFormat="false" ht="31.3" hidden="false" customHeight="false" outlineLevel="0" collapsed="false">
      <c r="A5" s="73"/>
      <c r="B5" s="74" t="s">
        <v>494</v>
      </c>
      <c r="C5" s="74" t="s">
        <v>495</v>
      </c>
      <c r="D5" s="75" t="s">
        <v>16</v>
      </c>
      <c r="E5" s="75" t="s">
        <v>496</v>
      </c>
      <c r="F5" s="75" t="s">
        <v>497</v>
      </c>
      <c r="G5" s="75" t="s">
        <v>498</v>
      </c>
      <c r="H5" s="75" t="s">
        <v>499</v>
      </c>
      <c r="I5" s="75" t="s">
        <v>500</v>
      </c>
      <c r="J5" s="75" t="s">
        <v>501</v>
      </c>
      <c r="K5" s="75" t="s">
        <v>502</v>
      </c>
      <c r="L5" s="76"/>
      <c r="M5" s="77" t="s">
        <v>503</v>
      </c>
      <c r="N5" s="77" t="s">
        <v>504</v>
      </c>
      <c r="O5" s="78" t="s">
        <v>505</v>
      </c>
      <c r="P5" s="78" t="s">
        <v>506</v>
      </c>
      <c r="Q5" s="77" t="s">
        <v>24</v>
      </c>
      <c r="R5" s="77" t="s">
        <v>37</v>
      </c>
    </row>
    <row r="6" customFormat="false" ht="15" hidden="false" customHeight="false" outlineLevel="0" collapsed="false">
      <c r="A6" s="77" t="s">
        <v>507</v>
      </c>
      <c r="B6" s="79" t="n">
        <v>110.24</v>
      </c>
      <c r="C6" s="80" t="n">
        <v>105</v>
      </c>
      <c r="D6" s="81" t="n">
        <v>59484.75</v>
      </c>
      <c r="E6" s="81" t="n">
        <v>0</v>
      </c>
      <c r="F6" s="82" t="n">
        <v>170466</v>
      </c>
      <c r="G6" s="83" t="n">
        <v>80970.33</v>
      </c>
      <c r="H6" s="83" t="n">
        <v>128395.59</v>
      </c>
      <c r="I6" s="83" t="n">
        <v>1130.84</v>
      </c>
      <c r="J6" s="83" t="n">
        <v>0</v>
      </c>
      <c r="K6" s="83" t="n">
        <v>38.09</v>
      </c>
      <c r="M6" s="84" t="n">
        <f aca="false">G6/C6</f>
        <v>771.146</v>
      </c>
      <c r="N6" s="84" t="n">
        <f aca="false">F6/C6</f>
        <v>1623.48571428571</v>
      </c>
      <c r="O6" s="84" t="n">
        <v>9.41</v>
      </c>
      <c r="P6" s="85" t="n">
        <v>74915.7</v>
      </c>
      <c r="Q6" s="84" t="n">
        <v>23.08</v>
      </c>
      <c r="R6" s="84" t="n">
        <v>76.92</v>
      </c>
    </row>
    <row r="7" customFormat="false" ht="15" hidden="false" customHeight="false" outlineLevel="0" collapsed="false">
      <c r="A7" s="77" t="s">
        <v>508</v>
      </c>
      <c r="B7" s="79" t="n">
        <v>143.58</v>
      </c>
      <c r="C7" s="80" t="n">
        <v>132.77</v>
      </c>
      <c r="D7" s="81" t="n">
        <v>63871.05</v>
      </c>
      <c r="E7" s="81" t="n">
        <v>0</v>
      </c>
      <c r="F7" s="82" t="n">
        <v>208311</v>
      </c>
      <c r="G7" s="83" t="n">
        <v>79925.28</v>
      </c>
      <c r="H7" s="83" t="n">
        <v>124926.17</v>
      </c>
      <c r="I7" s="83" t="n">
        <v>1130.84</v>
      </c>
      <c r="J7" s="83" t="n">
        <v>0</v>
      </c>
      <c r="K7" s="83" t="n">
        <v>53.9</v>
      </c>
      <c r="M7" s="84" t="n">
        <f aca="false">G7/C7</f>
        <v>601.982978082398</v>
      </c>
      <c r="N7" s="84" t="n">
        <f aca="false">F7/C7</f>
        <v>1568.96136175341</v>
      </c>
      <c r="O7" s="84" t="n">
        <v>6.83</v>
      </c>
      <c r="P7" s="85" t="n">
        <v>61315.8</v>
      </c>
      <c r="Q7" s="84" t="n">
        <v>7.64</v>
      </c>
      <c r="R7" s="84" t="n">
        <v>92.36</v>
      </c>
    </row>
    <row r="8" customFormat="false" ht="15" hidden="false" customHeight="false" outlineLevel="0" collapsed="false">
      <c r="A8" s="77" t="s">
        <v>509</v>
      </c>
      <c r="B8" s="79" t="n">
        <v>122.93</v>
      </c>
      <c r="C8" s="80" t="n">
        <v>122.37</v>
      </c>
      <c r="D8" s="81" t="n">
        <v>76763.98</v>
      </c>
      <c r="E8" s="81" t="n">
        <v>0</v>
      </c>
      <c r="F8" s="82" t="n">
        <v>223579</v>
      </c>
      <c r="G8" s="83" t="n">
        <v>85727.31</v>
      </c>
      <c r="H8" s="83" t="n">
        <v>125015.3</v>
      </c>
      <c r="I8" s="83" t="n">
        <v>1130.84</v>
      </c>
      <c r="J8" s="83" t="n">
        <v>0</v>
      </c>
      <c r="K8" s="83" t="n">
        <v>222.16</v>
      </c>
      <c r="M8" s="84" t="n">
        <f aca="false">G8/C8</f>
        <v>700.558225055161</v>
      </c>
      <c r="N8" s="84" t="n">
        <f aca="false">F8/C8</f>
        <v>1827.07362915747</v>
      </c>
      <c r="O8" s="84" t="n">
        <v>8.36</v>
      </c>
      <c r="P8" s="85" t="n">
        <v>64740.6</v>
      </c>
      <c r="Q8" s="84" t="n">
        <v>11.29</v>
      </c>
      <c r="R8" s="84" t="n">
        <v>88.71</v>
      </c>
    </row>
    <row r="9" customFormat="false" ht="15" hidden="false" customHeight="false" outlineLevel="0" collapsed="false">
      <c r="A9" s="77" t="s">
        <v>510</v>
      </c>
      <c r="B9" s="79" t="n">
        <v>100.34</v>
      </c>
      <c r="C9" s="80" t="n">
        <v>100.06</v>
      </c>
      <c r="D9" s="81" t="n">
        <v>36823.5</v>
      </c>
      <c r="E9" s="81" t="n">
        <v>0</v>
      </c>
      <c r="F9" s="82" t="n">
        <v>144097</v>
      </c>
      <c r="G9" s="83" t="n">
        <v>80533.95</v>
      </c>
      <c r="H9" s="83" t="n">
        <v>163895.58</v>
      </c>
      <c r="I9" s="83" t="n">
        <v>1130.84</v>
      </c>
      <c r="J9" s="83" t="n">
        <v>1319</v>
      </c>
      <c r="K9" s="83" t="n">
        <v>48.72</v>
      </c>
      <c r="M9" s="84" t="n">
        <f aca="false">G9/C9</f>
        <v>804.856586048371</v>
      </c>
      <c r="N9" s="84" t="n">
        <f aca="false">F9/C9</f>
        <v>1440.10593643814</v>
      </c>
      <c r="O9" s="84" t="n">
        <v>9.14</v>
      </c>
      <c r="P9" s="85" t="n">
        <v>66714.4</v>
      </c>
      <c r="Q9" s="84" t="n">
        <v>35.62</v>
      </c>
      <c r="R9" s="84" t="n">
        <v>64.38</v>
      </c>
    </row>
    <row r="10" customFormat="false" ht="15" hidden="false" customHeight="false" outlineLevel="0" collapsed="false">
      <c r="A10" s="77" t="s">
        <v>511</v>
      </c>
      <c r="B10" s="79" t="n">
        <v>144.78</v>
      </c>
      <c r="C10" s="80" t="n">
        <v>127.28</v>
      </c>
      <c r="D10" s="81" t="n">
        <v>75211.73</v>
      </c>
      <c r="E10" s="81" t="n">
        <v>1658</v>
      </c>
      <c r="F10" s="82" t="n">
        <v>242109</v>
      </c>
      <c r="G10" s="83" t="n">
        <v>87238.65</v>
      </c>
      <c r="H10" s="83" t="n">
        <v>235605.52</v>
      </c>
      <c r="I10" s="83" t="n">
        <v>1130.84</v>
      </c>
      <c r="J10" s="83" t="n">
        <v>0</v>
      </c>
      <c r="K10" s="83" t="n">
        <v>2193.68</v>
      </c>
      <c r="M10" s="84" t="n">
        <f aca="false">G10/C10</f>
        <v>685.407369578881</v>
      </c>
      <c r="N10" s="84" t="n">
        <f aca="false">F10/C10</f>
        <v>1902.17630421119</v>
      </c>
      <c r="O10" s="84" t="n">
        <v>6.97</v>
      </c>
      <c r="P10" s="85" t="n">
        <v>78215.1</v>
      </c>
      <c r="Q10" s="84" t="n">
        <v>19.76</v>
      </c>
      <c r="R10" s="84" t="n">
        <v>80.24</v>
      </c>
    </row>
    <row r="11" customFormat="false" ht="15" hidden="false" customHeight="false" outlineLevel="0" collapsed="false">
      <c r="A11" s="77" t="s">
        <v>512</v>
      </c>
      <c r="B11" s="79" t="n">
        <v>118.38</v>
      </c>
      <c r="C11" s="80" t="n">
        <v>117.99</v>
      </c>
      <c r="D11" s="81" t="n">
        <v>53363.08</v>
      </c>
      <c r="E11" s="81" t="n">
        <v>0</v>
      </c>
      <c r="F11" s="81" t="n">
        <v>188149</v>
      </c>
      <c r="G11" s="83" t="n">
        <v>83194.39</v>
      </c>
      <c r="H11" s="83" t="n">
        <v>151670</v>
      </c>
      <c r="I11" s="83" t="n">
        <v>1130.84</v>
      </c>
      <c r="J11" s="83" t="n">
        <v>0</v>
      </c>
      <c r="K11" s="83" t="n">
        <v>110.76</v>
      </c>
      <c r="M11" s="84" t="n">
        <f aca="false">G11/C11</f>
        <v>705.096957369269</v>
      </c>
      <c r="N11" s="84" t="n">
        <f aca="false">F11/C11</f>
        <v>1594.61818798203</v>
      </c>
      <c r="O11" s="84" t="n">
        <v>0.83</v>
      </c>
      <c r="P11" s="85" t="n">
        <v>61611.9</v>
      </c>
      <c r="Q11" s="84" t="n">
        <v>34.17</v>
      </c>
      <c r="R11" s="84" t="n">
        <v>65.83</v>
      </c>
    </row>
    <row r="12" customFormat="false" ht="15" hidden="false" customHeight="false" outlineLevel="0" collapsed="false">
      <c r="A12" s="77" t="s">
        <v>513</v>
      </c>
      <c r="B12" s="79" t="n">
        <v>114.8</v>
      </c>
      <c r="C12" s="80" t="n">
        <v>109.21</v>
      </c>
      <c r="D12" s="81" t="n">
        <v>61837.42</v>
      </c>
      <c r="E12" s="81" t="n">
        <v>192</v>
      </c>
      <c r="F12" s="81" t="n">
        <v>194726</v>
      </c>
      <c r="G12" s="83" t="n">
        <v>102893.18</v>
      </c>
      <c r="H12" s="83" t="n">
        <v>179116.91</v>
      </c>
      <c r="I12" s="83" t="n">
        <v>1130.84</v>
      </c>
      <c r="J12" s="83" t="n">
        <v>0</v>
      </c>
      <c r="K12" s="83" t="n">
        <v>335</v>
      </c>
      <c r="M12" s="84" t="n">
        <f aca="false">G12/C12</f>
        <v>942.158959802216</v>
      </c>
      <c r="N12" s="84" t="n">
        <f aca="false">F12/C12</f>
        <v>1783.0418459848</v>
      </c>
      <c r="O12" s="84" t="n">
        <v>3.82</v>
      </c>
      <c r="P12" s="85" t="n">
        <v>53086.5</v>
      </c>
      <c r="Q12" s="84" t="n">
        <v>19.3</v>
      </c>
      <c r="R12" s="84" t="n">
        <v>80.7</v>
      </c>
    </row>
    <row r="13" customFormat="false" ht="15" hidden="false" customHeight="false" outlineLevel="0" collapsed="false">
      <c r="A13" s="77" t="s">
        <v>514</v>
      </c>
      <c r="B13" s="79" t="n">
        <v>124.19</v>
      </c>
      <c r="C13" s="80" t="n">
        <v>91.51</v>
      </c>
      <c r="D13" s="81" t="n">
        <v>54125.08</v>
      </c>
      <c r="E13" s="81" t="n">
        <v>0</v>
      </c>
      <c r="F13" s="81" t="n">
        <v>189515</v>
      </c>
      <c r="G13" s="83" t="n">
        <v>87041.76</v>
      </c>
      <c r="H13" s="83" t="n">
        <v>139321.43</v>
      </c>
      <c r="I13" s="83" t="n">
        <v>1180.44</v>
      </c>
      <c r="J13" s="83" t="n">
        <v>0</v>
      </c>
      <c r="K13" s="83" t="n">
        <v>229.44</v>
      </c>
      <c r="M13" s="84" t="n">
        <f aca="false">G13/C13</f>
        <v>951.172112337449</v>
      </c>
      <c r="N13" s="84" t="n">
        <f aca="false">F13/C13</f>
        <v>2070.97584963392</v>
      </c>
      <c r="O13" s="84" t="n">
        <v>5.84</v>
      </c>
      <c r="P13" s="85" t="n">
        <v>58140</v>
      </c>
      <c r="Q13" s="84" t="n">
        <v>20.42</v>
      </c>
      <c r="R13" s="84" t="n">
        <v>79.58</v>
      </c>
    </row>
    <row r="14" customFormat="false" ht="15" hidden="false" customHeight="false" outlineLevel="0" collapsed="false">
      <c r="A14" s="77" t="s">
        <v>515</v>
      </c>
      <c r="B14" s="79" t="n">
        <v>141.99</v>
      </c>
      <c r="C14" s="80" t="n">
        <v>134.81</v>
      </c>
      <c r="D14" s="81" t="n">
        <v>81420.71</v>
      </c>
      <c r="E14" s="81" t="n">
        <v>0</v>
      </c>
      <c r="F14" s="81" t="n">
        <v>226072</v>
      </c>
      <c r="G14" s="83" t="n">
        <v>100373.66</v>
      </c>
      <c r="H14" s="83" t="n">
        <v>164531.51</v>
      </c>
      <c r="I14" s="83" t="n">
        <v>1198.37</v>
      </c>
      <c r="J14" s="83" t="n">
        <v>0</v>
      </c>
      <c r="K14" s="83" t="n">
        <v>998.56</v>
      </c>
      <c r="M14" s="84" t="n">
        <f aca="false">G14/C14</f>
        <v>744.556486907499</v>
      </c>
      <c r="N14" s="84" t="n">
        <f aca="false">F14/C14</f>
        <v>1676.96758400712</v>
      </c>
      <c r="O14" s="84" t="n">
        <v>5.7</v>
      </c>
      <c r="P14" s="85" t="n">
        <v>54227.35</v>
      </c>
      <c r="Q14" s="84" t="n">
        <v>8.93</v>
      </c>
      <c r="R14" s="84" t="n">
        <v>91.07</v>
      </c>
    </row>
    <row r="15" customFormat="false" ht="15" hidden="false" customHeight="false" outlineLevel="0" collapsed="false">
      <c r="A15" s="77" t="s">
        <v>516</v>
      </c>
      <c r="B15" s="79" t="n">
        <v>199.66</v>
      </c>
      <c r="C15" s="80" t="n">
        <v>185.05</v>
      </c>
      <c r="D15" s="81" t="n">
        <v>87818.17</v>
      </c>
      <c r="E15" s="81" t="n">
        <v>1096</v>
      </c>
      <c r="F15" s="81" t="n">
        <v>300963</v>
      </c>
      <c r="G15" s="83" t="n">
        <v>105508.35</v>
      </c>
      <c r="H15" s="83" t="n">
        <v>167579.55</v>
      </c>
      <c r="I15" s="83" t="n">
        <v>1189.41</v>
      </c>
      <c r="J15" s="83" t="n">
        <v>0</v>
      </c>
      <c r="K15" s="83" t="n">
        <v>1142.16</v>
      </c>
      <c r="M15" s="84" t="n">
        <f aca="false">G15/C15</f>
        <v>570.161307754661</v>
      </c>
      <c r="N15" s="84" t="n">
        <f aca="false">F15/C15</f>
        <v>1626.38746284788</v>
      </c>
      <c r="O15" s="84" t="n">
        <v>6.06</v>
      </c>
      <c r="P15" s="85" t="n">
        <v>67041.15</v>
      </c>
      <c r="Q15" s="84" t="n">
        <v>38.3</v>
      </c>
      <c r="R15" s="84" t="n">
        <v>61.7</v>
      </c>
    </row>
    <row r="16" customFormat="false" ht="15" hidden="false" customHeight="false" outlineLevel="0" collapsed="false">
      <c r="A16" s="77" t="s">
        <v>517</v>
      </c>
      <c r="B16" s="79" t="n">
        <v>108.7</v>
      </c>
      <c r="C16" s="80" t="n">
        <v>108.51</v>
      </c>
      <c r="D16" s="81" t="n">
        <v>52939.86</v>
      </c>
      <c r="E16" s="81" t="n">
        <v>0</v>
      </c>
      <c r="F16" s="81" t="n">
        <v>190826</v>
      </c>
      <c r="G16" s="83" t="n">
        <v>91019.81</v>
      </c>
      <c r="H16" s="83" t="n">
        <v>164817.71</v>
      </c>
      <c r="I16" s="83" t="n">
        <v>1189.41</v>
      </c>
      <c r="J16" s="83" t="n">
        <v>0</v>
      </c>
      <c r="K16" s="83" t="n">
        <v>38.76</v>
      </c>
      <c r="M16" s="84" t="n">
        <f aca="false">G16/C16</f>
        <v>838.814947931066</v>
      </c>
      <c r="N16" s="84" t="n">
        <f aca="false">F16/C16</f>
        <v>1758.60289374251</v>
      </c>
      <c r="O16" s="84" t="n">
        <v>7.68</v>
      </c>
      <c r="P16" s="85" t="n">
        <v>72477.75</v>
      </c>
      <c r="Q16" s="84" t="n">
        <v>45.14</v>
      </c>
      <c r="R16" s="84" t="n">
        <v>54.86</v>
      </c>
    </row>
    <row r="17" customFormat="false" ht="15" hidden="false" customHeight="false" outlineLevel="0" collapsed="false">
      <c r="A17" s="77" t="s">
        <v>518</v>
      </c>
      <c r="B17" s="79" t="n">
        <v>88.64</v>
      </c>
      <c r="C17" s="80" t="n">
        <v>87.08</v>
      </c>
      <c r="D17" s="81" t="n">
        <v>68759.28</v>
      </c>
      <c r="E17" s="81" t="n">
        <v>149</v>
      </c>
      <c r="F17" s="81" t="n">
        <v>183285</v>
      </c>
      <c r="G17" s="83" t="n">
        <v>104301.36</v>
      </c>
      <c r="H17" s="83" t="n">
        <v>180719.11</v>
      </c>
      <c r="I17" s="83" t="n">
        <v>1189.41</v>
      </c>
      <c r="J17" s="83" t="n">
        <v>1180</v>
      </c>
      <c r="K17" s="83" t="n">
        <v>1024.5</v>
      </c>
      <c r="M17" s="84" t="n">
        <f aca="false">G17/C17</f>
        <v>1197.76481396417</v>
      </c>
      <c r="N17" s="84" t="n">
        <f aca="false">F17/C17</f>
        <v>2104.78870004594</v>
      </c>
      <c r="O17" s="84" t="n">
        <v>5.24</v>
      </c>
      <c r="P17" s="85" t="n">
        <v>59607.85</v>
      </c>
      <c r="Q17" s="84" t="n">
        <v>7.61</v>
      </c>
      <c r="R17" s="84" t="n">
        <v>92.39</v>
      </c>
    </row>
    <row r="18" customFormat="false" ht="15" hidden="false" customHeight="false" outlineLevel="0" collapsed="false">
      <c r="A18" s="79"/>
      <c r="B18" s="79"/>
      <c r="C18" s="80"/>
      <c r="D18" s="81"/>
      <c r="E18" s="81"/>
      <c r="F18" s="81"/>
      <c r="G18" s="83"/>
      <c r="H18" s="83"/>
      <c r="I18" s="83"/>
      <c r="J18" s="83"/>
      <c r="K18" s="83"/>
      <c r="M18" s="84"/>
      <c r="N18" s="84"/>
      <c r="O18" s="84"/>
      <c r="P18" s="85"/>
      <c r="Q18" s="84"/>
      <c r="R18" s="84"/>
    </row>
    <row r="19" customFormat="false" ht="15" hidden="false" customHeight="false" outlineLevel="0" collapsed="false">
      <c r="A19" s="77" t="s">
        <v>519</v>
      </c>
      <c r="B19" s="86" t="n">
        <f aca="false">SUM(B6:B18)</f>
        <v>1518.23</v>
      </c>
      <c r="C19" s="87" t="n">
        <f aca="false">SUM(C6:C18)</f>
        <v>1421.64</v>
      </c>
      <c r="D19" s="87" t="n">
        <f aca="false">SUM(D6:D18)</f>
        <v>772418.61</v>
      </c>
      <c r="E19" s="88" t="n">
        <f aca="false">SUM(E6:E18)</f>
        <v>3095</v>
      </c>
      <c r="F19" s="89" t="n">
        <f aca="false">SUM(F6:F18)</f>
        <v>2462098</v>
      </c>
      <c r="G19" s="90" t="n">
        <f aca="false">SUM(G6:G18)</f>
        <v>1088728.03</v>
      </c>
      <c r="H19" s="90" t="n">
        <f aca="false">SUM(H6:H18)</f>
        <v>1925594.38</v>
      </c>
      <c r="I19" s="90" t="n">
        <f aca="false">SUM(I6:I18)</f>
        <v>13862.92</v>
      </c>
      <c r="J19" s="90" t="n">
        <f aca="false">SUM(J6:J18)</f>
        <v>2499</v>
      </c>
      <c r="K19" s="90" t="n">
        <f aca="false">SUM(K6:K18)</f>
        <v>6435.73</v>
      </c>
      <c r="M19" s="84"/>
      <c r="N19" s="84"/>
      <c r="O19" s="84"/>
      <c r="P19" s="85"/>
      <c r="Q19" s="84"/>
      <c r="R19" s="84"/>
    </row>
    <row r="20" customFormat="false" ht="15" hidden="false" customHeight="false" outlineLevel="0" collapsed="false">
      <c r="A20" s="73"/>
      <c r="B20" s="77" t="s">
        <v>520</v>
      </c>
      <c r="C20" s="77" t="s">
        <v>521</v>
      </c>
      <c r="D20" s="77" t="s">
        <v>10</v>
      </c>
      <c r="E20" s="77" t="s">
        <v>496</v>
      </c>
      <c r="F20" s="77" t="s">
        <v>497</v>
      </c>
      <c r="G20" s="77" t="s">
        <v>522</v>
      </c>
      <c r="H20" s="77" t="s">
        <v>523</v>
      </c>
      <c r="I20" s="77" t="s">
        <v>500</v>
      </c>
      <c r="J20" s="77" t="s">
        <v>524</v>
      </c>
      <c r="K20" s="77" t="s">
        <v>525</v>
      </c>
      <c r="P20" s="69"/>
    </row>
    <row r="21" customFormat="false" ht="15" hidden="false" customHeight="false" outlineLevel="0" collapsed="false">
      <c r="A21" s="1"/>
      <c r="P21" s="69"/>
    </row>
    <row r="22" customFormat="false" ht="15" hidden="false" customHeight="false" outlineLevel="0" collapsed="false">
      <c r="A22" s="1"/>
      <c r="P22" s="69"/>
    </row>
    <row r="23" customFormat="false" ht="15" hidden="false" customHeight="false" outlineLevel="0" collapsed="false">
      <c r="A23" s="1"/>
      <c r="P23" s="69"/>
    </row>
  </sheetData>
  <mergeCells count="3">
    <mergeCell ref="A2:K2"/>
    <mergeCell ref="A4:K4"/>
    <mergeCell ref="M4:R4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2024-11-28T17:08:07Z</dcterms:created>
  <dc:creator>User001</dc:creator>
  <dc:description/>
  <dc:language>pt-BR</dc:language>
  <cp:lastModifiedBy/>
  <cp:lastPrinted>2026-07-06T11:52:57Z</cp:lastPrinted>
  <dcterms:modified xsi:type="dcterms:W3CDTF">2026-10-14T22:30:02Z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